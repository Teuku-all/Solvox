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edback Bank" sheetId="1" state="visible" r:id="rId3"/>
    <sheet name="Error Codes" sheetId="2" state="visible" r:id="rId4"/>
    <sheet name="Fallback Feedback" sheetId="3" state="visible" r:id="rId5"/>
    <sheet name="Notes" sheetId="4" state="visible" r:id="rId6"/>
  </sheets>
  <definedNames>
    <definedName function="false" hidden="true" localSheetId="0" name="_xlnm._FilterDatabase" vbProcedure="false">'Feedback Bank'!$A$1:$I$196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<sst xmlns="http://schemas.openxmlformats.org/spreadsheetml/2006/main" count="1642" uniqueCount="685">
  <si>
    <t xml:space="preserve">Q No.</t>
  </si>
  <si>
    <t xml:space="preserve">Chapter</t>
  </si>
  <si>
    <t xml:space="preserve">Problem</t>
  </si>
  <si>
    <t xml:space="preserve">Answer Key</t>
  </si>
  <si>
    <t xml:space="preserve">Code</t>
  </si>
  <si>
    <t xml:space="preserve">Error Type</t>
  </si>
  <si>
    <t xml:space="preserve">Possible Wrong Answer(s)</t>
  </si>
  <si>
    <t xml:space="preserve">Likely Student Reasoning</t>
  </si>
  <si>
    <t xml:space="preserve">In-Game Feedback</t>
  </si>
  <si>
    <t xml:space="preserve">Ch 1 - Addition &amp; Subtraction</t>
  </si>
  <si>
    <t xml:space="preserve">x + 7 = 15</t>
  </si>
  <si>
    <t xml:space="preserve">x = 8</t>
  </si>
  <si>
    <t xml:space="preserve">OP</t>
  </si>
  <si>
    <t xml:space="preserve">Wrong inverse operation</t>
  </si>
  <si>
    <t xml:space="preserve">22</t>
  </si>
  <si>
    <t xml:space="preserve">Adds 15 + 7: uses the same operation instead of the opposite one.</t>
  </si>
  <si>
    <t xml:space="preserve">Almost! On the left side, 7 is being added to x. Which operation can 'cancel out' adding 7 so that x is alone? Do the same on the right side too.</t>
  </si>
  <si>
    <t xml:space="preserve">HT</t>
  </si>
  <si>
    <t xml:space="preserve">Calculation error</t>
  </si>
  <si>
    <t xml:space="preserve">7 or 9</t>
  </si>
  <si>
    <t xml:space="preserve">The steps are correct (15 - 7), but the subtraction result is miscalculated.</t>
  </si>
  <si>
    <t xml:space="preserve">Your steps are right! Just double-check the subtraction result. Try calculating it again slowly.</t>
  </si>
  <si>
    <t xml:space="preserve">LM</t>
  </si>
  <si>
    <t xml:space="preserve">Incomplete steps</t>
  </si>
  <si>
    <t xml:space="preserve">15</t>
  </si>
  <si>
    <t xml:space="preserve">Assumes the number on the right side is directly the value of x, without removing + 7.</t>
  </si>
  <si>
    <t xml:space="preserve">Test your answer: if x = 15, does x + 7 really equal 15? There is still a number you haven't removed from x.</t>
  </si>
  <si>
    <t xml:space="preserve">y - 9 = 4</t>
  </si>
  <si>
    <t xml:space="preserve">y = 13</t>
  </si>
  <si>
    <t xml:space="preserve">-5</t>
  </si>
  <si>
    <t xml:space="preserve">Computes 4 - 9: repeats the same operation (- 9) instead of its opposite.</t>
  </si>
  <si>
    <t xml:space="preserve">On the left side, 9 is subtracted from y. To get y alone, that 9 must be 'given back'. Which operation does that? Do the same on the right side.</t>
  </si>
  <si>
    <t xml:space="preserve">TD</t>
  </si>
  <si>
    <t xml:space="preserve">Sign / order error</t>
  </si>
  <si>
    <t xml:space="preserve">5</t>
  </si>
  <si>
    <t xml:space="preserve">Subtracts the smaller number from the larger one (9 - 4), ignoring which number is the starting point.</t>
  </si>
  <si>
    <t xml:space="preserve">Watch the order. On the right side there is 4, and 9 'moves' there using the opposite operation. Rewrite your step starting from 4.</t>
  </si>
  <si>
    <t xml:space="preserve">12 or 14</t>
  </si>
  <si>
    <t xml:space="preserve">The steps are correct (4 + 9), but the addition result is miscalculated.</t>
  </si>
  <si>
    <t xml:space="preserve">Your steps are right! Just double-check the addition result. Try calculating it again.</t>
  </si>
  <si>
    <t xml:space="preserve">a + 12 = 5</t>
  </si>
  <si>
    <t xml:space="preserve">a = -7</t>
  </si>
  <si>
    <t xml:space="preserve">7</t>
  </si>
  <si>
    <t xml:space="preserve">Computes 12 - 5 (subtracting the smaller number from the larger one), so the negative sign is lost.</t>
  </si>
  <si>
    <t xml:space="preserve">You subtracted correctly! Now check the sign: is 5 minus 12 positive or negative? Picture the number line.</t>
  </si>
  <si>
    <t xml:space="preserve">17</t>
  </si>
  <si>
    <t xml:space="preserve">Adds 5 + 12: repeats the same operation.</t>
  </si>
  <si>
    <t xml:space="preserve">On the left side, 12 is added to a. If you add again on the right, the 12 will never disappear from a. Which operation is the opposite of adding?</t>
  </si>
  <si>
    <t xml:space="preserve">-6 or -8</t>
  </si>
  <si>
    <t xml:space="preserve">The steps are correct (5 - 12), but the result is miscalculated.</t>
  </si>
  <si>
    <t xml:space="preserve">Your steps are right! Recalculate: starting at 5, move back 12 steps on the number line. Where do you stop?</t>
  </si>
  <si>
    <t xml:space="preserve">m - 15 = -8</t>
  </si>
  <si>
    <t xml:space="preserve">m = 7</t>
  </si>
  <si>
    <t xml:space="preserve">-23</t>
  </si>
  <si>
    <t xml:space="preserve">Computes -8 - 15: repeats the same operation.</t>
  </si>
  <si>
    <t xml:space="preserve">On the left side, 15 is subtracted from m. To get m alone, which operation must you do on both sides?</t>
  </si>
  <si>
    <t xml:space="preserve">-7</t>
  </si>
  <si>
    <t xml:space="preserve">Adds 15 correctly, but computes -8 + 15 as -(15 - 8): gets thrown off by the negative sign.</t>
  </si>
  <si>
    <t xml:space="preserve">You added 15, great! Now check -8 + 15: start at -8 and move forward 15 steps. Do you stop at a positive or a negative number?</t>
  </si>
  <si>
    <t xml:space="preserve">23</t>
  </si>
  <si>
    <t xml:space="preserve">Ignores the negative sign on -8 (computes 8 + 15).</t>
  </si>
  <si>
    <t xml:space="preserve">Don't forget the sign on the right side: the number is -8, not 8. Rewrite your step with the negative sign.</t>
  </si>
  <si>
    <t xml:space="preserve">18 + x = 30</t>
  </si>
  <si>
    <t xml:space="preserve">x = 12</t>
  </si>
  <si>
    <t xml:space="preserve">48</t>
  </si>
  <si>
    <t xml:space="preserve">Adds 30 + 18: repeats the same operation.</t>
  </si>
  <si>
    <t xml:space="preserve">On the left side, 18 is added to x. Which operation can remove 18? Do it on both sides.</t>
  </si>
  <si>
    <t xml:space="preserve">-12</t>
  </si>
  <si>
    <t xml:space="preserve">Reverses the order of subtraction (18 - 30).</t>
  </si>
  <si>
    <t xml:space="preserve">Almost! Check the order of subtraction: the number you are removing is 18, so it should be 30 minus what?</t>
  </si>
  <si>
    <t xml:space="preserve">11 or 13</t>
  </si>
  <si>
    <t xml:space="preserve">The steps are correct (30 - 18), but the result is miscalculated.</t>
  </si>
  <si>
    <t xml:space="preserve">Your steps are right! Just double-check the result of 30 - 18.</t>
  </si>
  <si>
    <t xml:space="preserve">p - 6,5 = 3,5</t>
  </si>
  <si>
    <t xml:space="preserve">p = 10</t>
  </si>
  <si>
    <t xml:space="preserve">-3</t>
  </si>
  <si>
    <t xml:space="preserve">Computes 3.5 - 6.5: repeats the same operation.</t>
  </si>
  <si>
    <t xml:space="preserve">On the left side, 6.5 is subtracted from p. To get p alone, which operation must you do on both sides?</t>
  </si>
  <si>
    <t xml:space="preserve">PC</t>
  </si>
  <si>
    <t xml:space="preserve">Fraction / decimal error</t>
  </si>
  <si>
    <t xml:space="preserve">9 or 9.1</t>
  </si>
  <si>
    <t xml:space="preserve">The steps are correct (3.5 + 6.5), but adds the decimals incorrectly: the 0.5 + 0.5 is not 'carried' into the whole number, or the result is written as 9.10.</t>
  </si>
  <si>
    <t xml:space="preserve">Your steps are right! Double-check the decimal addition: what is 0.5 + 0.5, and where does the 'carry' go?</t>
  </si>
  <si>
    <t xml:space="preserve">k + 1/2 = 3</t>
  </si>
  <si>
    <t xml:space="preserve">k = 5/2 or 2.5</t>
  </si>
  <si>
    <t xml:space="preserve">3.5</t>
  </si>
  <si>
    <t xml:space="preserve">Adds 3 + 1/2: repeats the same operation.</t>
  </si>
  <si>
    <t xml:space="preserve">On the left side, 1/2 is added to k. Which operation is the opposite of adding? Do it on both sides.</t>
  </si>
  <si>
    <t xml:space="preserve">1</t>
  </si>
  <si>
    <t xml:space="preserve">Computes 3 - 1/2 as (3 - 1)/2 = 1.</t>
  </si>
  <si>
    <t xml:space="preserve">Your subtraction step is right! But 3 - 1/2 can't be calculated like that. Turn 3 into a fraction with denominator 2 first, then subtract.</t>
  </si>
  <si>
    <t xml:space="preserve">2</t>
  </si>
  <si>
    <t xml:space="preserve">Ignores the fraction 1/2 when moving it to the other side (3 - 1).</t>
  </si>
  <si>
    <t xml:space="preserve">The fraction 1/2 has to be moved too, and its value still has to be calculated. What is 3 - 1/2? Write it as a mixed number first if you need to.</t>
  </si>
  <si>
    <t xml:space="preserve">-7 + n = 14</t>
  </si>
  <si>
    <t xml:space="preserve">n = 21</t>
  </si>
  <si>
    <t xml:space="preserve">Computes 14 - 7: moves -7 without flipping the operation.</t>
  </si>
  <si>
    <t xml:space="preserve">The -7 on the left side means n has 7 taken away. To make the -7 disappear, which operation must you do on both sides?</t>
  </si>
  <si>
    <t xml:space="preserve">-21</t>
  </si>
  <si>
    <t xml:space="preserve">Adds 14 + 7 correctly, but puts a negative sign on the result.</t>
  </si>
  <si>
    <t xml:space="preserve">The addition is right! Now check the sign: test your answer. Does -7 + (your answer) really equal 14?</t>
  </si>
  <si>
    <t xml:space="preserve">20 or 22</t>
  </si>
  <si>
    <t xml:space="preserve">The steps are correct (14 + 7), but the result is miscalculated.</t>
  </si>
  <si>
    <t xml:space="preserve">Your steps are right! Just double-check 14 + 7.</t>
  </si>
  <si>
    <t xml:space="preserve">x - 14 = -20</t>
  </si>
  <si>
    <t xml:space="preserve">x = -6</t>
  </si>
  <si>
    <t xml:space="preserve">-34</t>
  </si>
  <si>
    <t xml:space="preserve">Computes -20 - 14: repeats the same operation.</t>
  </si>
  <si>
    <t xml:space="preserve">On the left side, 14 is subtracted from x. Which operation can 'give back' the 14? Do it on both sides.</t>
  </si>
  <si>
    <t xml:space="preserve">6</t>
  </si>
  <si>
    <t xml:space="preserve">Computes -20 + 14 but writes the result as positive: the negative sign is lost.</t>
  </si>
  <si>
    <t xml:space="preserve">You added 14 correctly! Check the sign of the result: start at -20 and move forward 14 steps. Do you stop at a positive or a negative number?</t>
  </si>
  <si>
    <t xml:space="preserve">34</t>
  </si>
  <si>
    <t xml:space="preserve">Ignores the negative sign on -20 (computes 20 + 14).</t>
  </si>
  <si>
    <t xml:space="preserve">The negative sign on -20 must not disappear. Rewrite your right side with the correct sign.</t>
  </si>
  <si>
    <t xml:space="preserve">-5 or -7</t>
  </si>
  <si>
    <t xml:space="preserve">The steps are correct (-20 + 14), but the result is miscalculated.</t>
  </si>
  <si>
    <t xml:space="preserve">Your steps are right! Recalculate -20 + 14 on the number line.</t>
  </si>
  <si>
    <t xml:space="preserve">y + 25 = 11</t>
  </si>
  <si>
    <t xml:space="preserve">y = -14</t>
  </si>
  <si>
    <t xml:space="preserve">14</t>
  </si>
  <si>
    <t xml:space="preserve">Computes 25 - 11 (reversed order), so the negative sign is lost.</t>
  </si>
  <si>
    <t xml:space="preserve">You subtracted 25, good! But the order is 11 minus 25, not the other way around. Is the result positive or negative?</t>
  </si>
  <si>
    <t xml:space="preserve">36</t>
  </si>
  <si>
    <t xml:space="preserve">Adds 11 + 25: repeats the same operation.</t>
  </si>
  <si>
    <t xml:space="preserve">On the left side, 25 is added to y. Which operation is the opposite of adding? Do it on both sides.</t>
  </si>
  <si>
    <t xml:space="preserve">-13 or -15</t>
  </si>
  <si>
    <t xml:space="preserve">The steps are correct (11 - 25), but the result is miscalculated.</t>
  </si>
  <si>
    <t xml:space="preserve">Your steps are right! Recalculate 11 - 25: from 11, move back 25 steps.</t>
  </si>
  <si>
    <t xml:space="preserve">Ch 2 - Multiplication &amp; Division</t>
  </si>
  <si>
    <t xml:space="preserve">4x = 28</t>
  </si>
  <si>
    <t xml:space="preserve">x = 7</t>
  </si>
  <si>
    <t xml:space="preserve">KV</t>
  </si>
  <si>
    <t xml:space="preserve">Multiply/divide confusion</t>
  </si>
  <si>
    <t xml:space="preserve">112</t>
  </si>
  <si>
    <t xml:space="preserve">Multiplies 28 x 4: thinks that removing the 4 means multiplying.</t>
  </si>
  <si>
    <t xml:space="preserve">4x means 4 times x. To get x alone, which operation is the opposite of 'multiplied by 4'?</t>
  </si>
  <si>
    <t xml:space="preserve">1/7 (≈ 0.14)</t>
  </si>
  <si>
    <t xml:space="preserve">Divides 4 by 28: the order of division is reversed.</t>
  </si>
  <si>
    <t xml:space="preserve">You chose division, good! But the order is swapped: you divide the number on the right side, and the divisor is the coefficient of x.</t>
  </si>
  <si>
    <t xml:space="preserve">24</t>
  </si>
  <si>
    <t xml:space="preserve">Treats 4x as 4 + x, then subtracts 4 from 28.</t>
  </si>
  <si>
    <t xml:space="preserve">4x is not 4 + x, it is 4 times x. Test your answer: does 4 times your answer equal 28?</t>
  </si>
  <si>
    <t xml:space="preserve">6 or 8</t>
  </si>
  <si>
    <t xml:space="preserve">The steps are correct (28 : 4), but the division result is miscalculated.</t>
  </si>
  <si>
    <t xml:space="preserve">Your steps are right! Just double-check the result of 28 : 4.</t>
  </si>
  <si>
    <t xml:space="preserve">-3y = 21</t>
  </si>
  <si>
    <t xml:space="preserve">y = -7</t>
  </si>
  <si>
    <t xml:space="preserve">Divides 21 : 3 and ignores the negative sign on -3.</t>
  </si>
  <si>
    <t xml:space="preserve">Nice, you divided! But divide by -3 (not 3). When a positive number is divided by a negative number, is the result positive or negative?</t>
  </si>
  <si>
    <t xml:space="preserve">-63</t>
  </si>
  <si>
    <t xml:space="preserve">Multiplies 21 x (-3): thinks that removing -3 means multiplying.</t>
  </si>
  <si>
    <t xml:space="preserve">-3y means -3 times y. To get y alone, which operation is the opposite of multiplying?</t>
  </si>
  <si>
    <t xml:space="preserve">24 or 18</t>
  </si>
  <si>
    <t xml:space="preserve">Treats -3y as -3 + y, then adds/subtracts 3 from 21.</t>
  </si>
  <si>
    <t xml:space="preserve">-3y is not -3 + y, it is -3 times y. The opposite operation of 'multiply' is ...?</t>
  </si>
  <si>
    <t xml:space="preserve">The steps are correct (21 : -3), but the division result is miscalculated.</t>
  </si>
  <si>
    <t xml:space="preserve">Your steps are right! Just double-check the division result.</t>
  </si>
  <si>
    <t xml:space="preserve">a/5 = 6</t>
  </si>
  <si>
    <t xml:space="preserve">a = 30</t>
  </si>
  <si>
    <t xml:space="preserve">1.2</t>
  </si>
  <si>
    <t xml:space="preserve">Divides 6 : 5: thinks that removing '÷ 5' means dividing again.</t>
  </si>
  <si>
    <t xml:space="preserve">In the problem, a is being divided by 5. To get a alone, the opposite operation of 'divided by 5' is ...? Do it on both sides.</t>
  </si>
  <si>
    <t xml:space="preserve">1 or 11</t>
  </si>
  <si>
    <t xml:space="preserve">Treats a/5 as a - 5 (or a + 5), then adds/subtracts 5 from 6.</t>
  </si>
  <si>
    <t xml:space="preserve">a/5 does not mean a minus 5. It means a divided by 5. What is the opposite of 'divide'?</t>
  </si>
  <si>
    <t xml:space="preserve">25 or 35</t>
  </si>
  <si>
    <t xml:space="preserve">The steps are correct (6 x 5), but the multiplication result is miscalculated.</t>
  </si>
  <si>
    <t xml:space="preserve">Your steps are right! Just double-check the result of 6 x 5.</t>
  </si>
  <si>
    <t xml:space="preserve">m/4 = -9</t>
  </si>
  <si>
    <t xml:space="preserve">m = -36</t>
  </si>
  <si>
    <t xml:space="preserve">Multiplies -9 x 4 but writes the result as positive: the negative sign is lost.</t>
  </si>
  <si>
    <t xml:space="preserve">You multiplied by 4, good! Check the sign: is -9 times 4 positive or negative?</t>
  </si>
  <si>
    <t xml:space="preserve">-2.25</t>
  </si>
  <si>
    <t xml:space="preserve">Divides -9 : 4: thinks that removing '/4' means dividing again.</t>
  </si>
  <si>
    <t xml:space="preserve">m is being divided by 4. To get m alone, the opposite operation of 'divided by 4' is ...?</t>
  </si>
  <si>
    <t xml:space="preserve">-5 or -13</t>
  </si>
  <si>
    <t xml:space="preserve">Treats m/4 as m - 4, then adds/subtracts 4 from -9.</t>
  </si>
  <si>
    <t xml:space="preserve">m/4 does not mean m minus 4. It means m divided by 4. What is the opposite of 'divide'?</t>
  </si>
  <si>
    <t xml:space="preserve">(2/3)x = 12</t>
  </si>
  <si>
    <t xml:space="preserve">x = 18</t>
  </si>
  <si>
    <t xml:space="preserve">8</t>
  </si>
  <si>
    <t xml:space="preserve">Multiplies 12 x 2/3: uses the same fraction instead of its reciprocal.</t>
  </si>
  <si>
    <t xml:space="preserve">The coefficient of x is 2/3. To get x alone, multiply by the RECIPROCAL of 2/3, the fraction with the numerator and denominator swapped.</t>
  </si>
  <si>
    <t xml:space="preserve">Only divides 12 by 2 (the numerator) and stops, forgetting to multiply by 3.</t>
  </si>
  <si>
    <t xml:space="preserve">You have only dealt with the 2 so far. There is still the 3 as the denominator. Use the reciprocal of 2/3 all at once.</t>
  </si>
  <si>
    <t xml:space="preserve">Only multiplies 12 by 3 (the denominator), forgetting to divide by 2.</t>
  </si>
  <si>
    <t xml:space="preserve">You have only dealt with the 3 so far. There is still the 2 as the numerator. Use the reciprocal of 2/3 all at once.</t>
  </si>
  <si>
    <t xml:space="preserve">-8p = -56</t>
  </si>
  <si>
    <t xml:space="preserve">p = 7</t>
  </si>
  <si>
    <t xml:space="preserve">Divides -56 : 8, ignoring the negative sign on the divisor (-8).</t>
  </si>
  <si>
    <t xml:space="preserve">Nice, you divided! Check the sign: when a negative number is divided by a negative number, is the result positive or negative?</t>
  </si>
  <si>
    <t xml:space="preserve">448</t>
  </si>
  <si>
    <t xml:space="preserve">Multiplies -56 x (-8): thinks that removing -8 means multiplying.</t>
  </si>
  <si>
    <t xml:space="preserve">-8p means -8 times p. To get p alone, which operation is the opposite of multiplying?</t>
  </si>
  <si>
    <t xml:space="preserve">-64 or -48</t>
  </si>
  <si>
    <t xml:space="preserve">Treats -8p as -8 + p, then adds/subtracts 8 from -56.</t>
  </si>
  <si>
    <t xml:space="preserve">-8p is not -8 + p, it is -8 times p. The opposite operation of 'multiply' is ...?</t>
  </si>
  <si>
    <t xml:space="preserve">The steps are correct (-56 : -8), but the division result is miscalculated.</t>
  </si>
  <si>
    <t xml:space="preserve">Your steps are right! Just double-check the result of 56 : 8.</t>
  </si>
  <si>
    <t xml:space="preserve">y/0,5 = 14</t>
  </si>
  <si>
    <t xml:space="preserve">y = 7</t>
  </si>
  <si>
    <t xml:space="preserve">28</t>
  </si>
  <si>
    <t xml:space="preserve">Divides 14 : 0.5: thinks that removing '/0.5' means dividing again.</t>
  </si>
  <si>
    <t xml:space="preserve">y is already divided by 0.5. To get y alone, the opposite of 'divide' is ...?</t>
  </si>
  <si>
    <t xml:space="preserve">70 or 0.7</t>
  </si>
  <si>
    <t xml:space="preserve">Multiplies 14 x 0.5 but misplaces the decimal point in the result.</t>
  </si>
  <si>
    <t xml:space="preserve">You multiplied, which is the right step! Check the decimal point: does it make sense for 14 times a number less than 1 to give a result that big?</t>
  </si>
  <si>
    <t xml:space="preserve">13.5 or 14.5</t>
  </si>
  <si>
    <t xml:space="preserve">Treats y/0.5 as y - 0.5, then adds/subtracts 0.5 from 14.</t>
  </si>
  <si>
    <t xml:space="preserve">y/0.5 means y DIVIDED by 0.5, not minus 0.5. What is the opposite operation?</t>
  </si>
  <si>
    <t xml:space="preserve">0,4k = 1,6</t>
  </si>
  <si>
    <t xml:space="preserve">k = 4</t>
  </si>
  <si>
    <t xml:space="preserve">0.64</t>
  </si>
  <si>
    <t xml:space="preserve">Multiplies 1.6 x 0.4: thinks that removing 0.4 means multiplying.</t>
  </si>
  <si>
    <t xml:space="preserve">0.4k means 0.4 times k. To get k alone, which operation is the opposite of multiplying?</t>
  </si>
  <si>
    <t xml:space="preserve">0.4 or 40</t>
  </si>
  <si>
    <t xml:space="preserve">Divides 1.6 : 0.4 but misplaces the decimal point in the result.</t>
  </si>
  <si>
    <t xml:space="preserve">Your division is right, now check the decimal point. Trick: multiply 1.6 and 0.4 by 10 so they become whole numbers, then divide.</t>
  </si>
  <si>
    <t xml:space="preserve">0.25</t>
  </si>
  <si>
    <t xml:space="preserve">Divides 0.4 : 1.6: the order of division is reversed.</t>
  </si>
  <si>
    <t xml:space="preserve">You chose division, good! But the order is swapped: you divide 1.6 (the right side), and the divisor is 0.4.</t>
  </si>
  <si>
    <t xml:space="preserve">1.2 or 2</t>
  </si>
  <si>
    <t xml:space="preserve">Treats 0.4k as 0.4 + k, then adds/subtracts 0.4 from 1.6.</t>
  </si>
  <si>
    <t xml:space="preserve">0.4k is not 0.4 + k, it is 0.4 times k. The opposite operation of 'multiply' is ...?</t>
  </si>
  <si>
    <t xml:space="preserve">-(3/4)n = 15</t>
  </si>
  <si>
    <t xml:space="preserve">n = -20</t>
  </si>
  <si>
    <t xml:space="preserve">20</t>
  </si>
  <si>
    <t xml:space="preserve">Divides 15 by 3/4 and ignores the negative sign on the coefficient -3/4 (the result is written as positive).</t>
  </si>
  <si>
    <t xml:space="preserve">Your steps are good! Check the sign in the last step: the coefficient is -3/4, so a positive number times a negative reciprocal gives a positive or a negative result?</t>
  </si>
  <si>
    <t xml:space="preserve">-11.25 or 11.25</t>
  </si>
  <si>
    <t xml:space="preserve">Multiplies 15 x (-3/4) or 15 x 3/4: uses the same fraction instead of its reciprocal.</t>
  </si>
  <si>
    <t xml:space="preserve">The coefficient of n is -3/4. To get n alone, multiply by the RECIPROCAL of -3/4, the fraction with the numerator and denominator swapped (the negative sign stays).</t>
  </si>
  <si>
    <t xml:space="preserve">Only divides 15 by -3 (the numerator) and stops, forgetting to multiply by 4.</t>
  </si>
  <si>
    <t xml:space="preserve">You have only dealt with the 3 so far. There is still the 4 as the denominator. Use the reciprocal of -3/4 all at once.</t>
  </si>
  <si>
    <t xml:space="preserve">60</t>
  </si>
  <si>
    <t xml:space="preserve">Only multiplies 15 by 4 (the denominator), forgetting to divide by -3.</t>
  </si>
  <si>
    <t xml:space="preserve">You have only dealt with the 4 so far. There is still the -3 as the numerator. Use the reciprocal of -3/4 all at once.</t>
  </si>
  <si>
    <t xml:space="preserve">15z = -75</t>
  </si>
  <si>
    <t xml:space="preserve">z = -5</t>
  </si>
  <si>
    <t xml:space="preserve">Divides -75 : 15 but writes the result as positive: the negative sign is lost.</t>
  </si>
  <si>
    <t xml:space="preserve">You divided 75 by 15, good! Check the sign: when a negative number is divided by a positive number, is the result positive or negative?</t>
  </si>
  <si>
    <t xml:space="preserve">-1125</t>
  </si>
  <si>
    <t xml:space="preserve">Multiplies -75 x 15: thinks that removing 15 means multiplying.</t>
  </si>
  <si>
    <t xml:space="preserve">15z means 15 times z. To get z alone, which operation is the opposite of multiplying?</t>
  </si>
  <si>
    <t xml:space="preserve">-0.2</t>
  </si>
  <si>
    <t xml:space="preserve">Divides 15 : (-75): the order of division is reversed.</t>
  </si>
  <si>
    <t xml:space="preserve">You chose division, good! But the order is swapped: you divide -75 (the right side), and the divisor is 15.</t>
  </si>
  <si>
    <t xml:space="preserve">-4 or -6</t>
  </si>
  <si>
    <t xml:space="preserve">The steps are correct (-75 : 15), but the division result is miscalculated.</t>
  </si>
  <si>
    <t xml:space="preserve">Your steps are right! Just double-check the result of 75 : 15.</t>
  </si>
  <si>
    <t xml:space="preserve">Ch 3 - Mixed Operations</t>
  </si>
  <si>
    <t xml:space="preserve">2x + 5 = 17</t>
  </si>
  <si>
    <t xml:space="preserve">x = 6</t>
  </si>
  <si>
    <t xml:space="preserve">12</t>
  </si>
  <si>
    <t xml:space="preserve">Stops at 2x = 12 (not yet divided by 2).</t>
  </si>
  <si>
    <t xml:space="preserve">You removed + 5, good! But x isn't alone yet: there is still a 2 multiplying x. Keep going!</t>
  </si>
  <si>
    <t xml:space="preserve">11</t>
  </si>
  <si>
    <t xml:space="preserve">Adds 5 to the right side (17 + 5) and then divides by 2.</t>
  </si>
  <si>
    <t xml:space="preserve">On the left side, 5 is added to 2x. The opposite of 'add 5' is ...? Do it on both sides before dividing by 2.</t>
  </si>
  <si>
    <t xml:space="preserve">BS</t>
  </si>
  <si>
    <t xml:space="preserve">Operation applied to only some terms</t>
  </si>
  <si>
    <t xml:space="preserve">3.5 or 14.5</t>
  </si>
  <si>
    <t xml:space="preserve">Divides only one term (17 : 2 - 5, or 17 - 5 : 2).</t>
  </si>
  <si>
    <t xml:space="preserve">When you divide by 2, ALL terms are divided. Safer approach: remove + 5 from both sides first, then divide by 2.</t>
  </si>
  <si>
    <t xml:space="preserve">5 or 7</t>
  </si>
  <si>
    <t xml:space="preserve">The steps are correct (12 : 2), but the division result is miscalculated.</t>
  </si>
  <si>
    <t xml:space="preserve">Your steps are right! Just double-check the result of 12 : 2.</t>
  </si>
  <si>
    <t xml:space="preserve">3y - 8 = 13</t>
  </si>
  <si>
    <t xml:space="preserve">21</t>
  </si>
  <si>
    <t xml:space="preserve">Stops at 3y = 21 (not yet divided by 3).</t>
  </si>
  <si>
    <t xml:space="preserve">You removed - 8, good! But y isn't alone yet: there is still a 3 multiplying y. Keep going!</t>
  </si>
  <si>
    <t xml:space="preserve">5/3 (≈ 1.67)</t>
  </si>
  <si>
    <t xml:space="preserve">Subtracts 8 from 13 (repeats the same operation) and then divides by 3.</t>
  </si>
  <si>
    <t xml:space="preserve">On the left side, 8 is being subtracted. The opposite of 'subtract 8' is ...? Do it on both sides.</t>
  </si>
  <si>
    <t xml:space="preserve">37/3 (≈ 12.33)</t>
  </si>
  <si>
    <t xml:space="preserve">Divides 13 : 3 and then adds 8 (divides only one term).</t>
  </si>
  <si>
    <t xml:space="preserve">When you divide by 3, ALL terms are divided. Safer approach: remove - 8 from both sides first, then divide by 3.</t>
  </si>
  <si>
    <t xml:space="preserve">The steps are correct (21 : 3), but the division result is miscalculated.</t>
  </si>
  <si>
    <t xml:space="preserve">Your steps are right! Just double-check the result of 21 : 3.</t>
  </si>
  <si>
    <t xml:space="preserve">5a + 12 = -3</t>
  </si>
  <si>
    <t xml:space="preserve">a = -3</t>
  </si>
  <si>
    <t xml:space="preserve">-15</t>
  </si>
  <si>
    <t xml:space="preserve">Stops at 5a = -15 (not yet divided by 5).</t>
  </si>
  <si>
    <t xml:space="preserve">You removed + 12, good! But a is still multiplied by 5. Keep going until a is alone.</t>
  </si>
  <si>
    <t xml:space="preserve">3</t>
  </si>
  <si>
    <t xml:space="preserve">Divides -15 : 5 but writes the result as positive: the negative sign is lost.</t>
  </si>
  <si>
    <t xml:space="preserve">Your steps are good! Check the sign in the last step: when a negative number is divided by a positive number, is the result positive or negative?</t>
  </si>
  <si>
    <t xml:space="preserve">1.8</t>
  </si>
  <si>
    <t xml:space="preserve">Adds 12 to the right side (-3 + 12) and then divides by 5.</t>
  </si>
  <si>
    <t xml:space="preserve">On the left side, 12 is added to 5a. If you add again, the 12 will never disappear. What is the opposite operation of 'add'?</t>
  </si>
  <si>
    <t xml:space="preserve">-12.6</t>
  </si>
  <si>
    <t xml:space="preserve">Divides -3 : 5 and then subtracts 12 (divides only one term).</t>
  </si>
  <si>
    <t xml:space="preserve">When you divide by 5, ALL terms are divided. Safer approach: remove + 12 from both sides first, then divide by 5.</t>
  </si>
  <si>
    <t xml:space="preserve">4(m - 2) = 16</t>
  </si>
  <si>
    <t xml:space="preserve">m = 6</t>
  </si>
  <si>
    <t xml:space="preserve">DS</t>
  </si>
  <si>
    <t xml:space="preserve">Distribution (expanding brackets) error</t>
  </si>
  <si>
    <t xml:space="preserve">4.5</t>
  </si>
  <si>
    <t xml:space="preserve">Expands 4(m - 2) as 4m - 2: the 2 is not multiplied by 4.</t>
  </si>
  <si>
    <t xml:space="preserve">Remember: the number in front of the brackets multiplies EVERYTHING inside. Try multiplying 4 by m, then 4 by 2.</t>
  </si>
  <si>
    <t xml:space="preserve">Expands 4(m - 2) as 4m + 8: the negative sign is lost when multiplying.</t>
  </si>
  <si>
    <t xml:space="preserve">Check the sign when expanding the brackets: is 4 x (-2) positive or negative?</t>
  </si>
  <si>
    <t xml:space="preserve">4</t>
  </si>
  <si>
    <t xml:space="preserve">Stops at m - 2 = 4 (not yet adding 2).</t>
  </si>
  <si>
    <t xml:space="preserve">You divided 16 by 4 correctly! But m still has - 2 with it. Keep going until m is alone.</t>
  </si>
  <si>
    <t xml:space="preserve">66</t>
  </si>
  <si>
    <t xml:space="preserve">Multiplies 16 x 4 (instead of dividing) and then adds 2.</t>
  </si>
  <si>
    <t xml:space="preserve">The 4 in front of the brackets multiplies what is inside. To make that 4 disappear, which operation is the opposite of multiplying?</t>
  </si>
  <si>
    <t xml:space="preserve">(x + 4)/3 = 5</t>
  </si>
  <si>
    <t xml:space="preserve">x = 11</t>
  </si>
  <si>
    <t xml:space="preserve">Stops at x + 4 = 15 (not yet subtracting 4).</t>
  </si>
  <si>
    <t xml:space="preserve">You removed the denominator 3, good! But x still has + 4 with it. Keep going!</t>
  </si>
  <si>
    <t xml:space="preserve">11/3 (≈ 3.67)</t>
  </si>
  <si>
    <t xml:space="preserve">Thinks that only the 4 is divided by 3: x + 4/3 = 5.</t>
  </si>
  <si>
    <t xml:space="preserve">Look at the fraction bar: (x + 4) is ENTIRELY divided by 3, not just the 4. When you multiply the left side by 3, what happens to the top part?</t>
  </si>
  <si>
    <t xml:space="preserve">19</t>
  </si>
  <si>
    <t xml:space="preserve">Multiplies 5 x 3 and then adds 4 (it should be subtracted).</t>
  </si>
  <si>
    <t xml:space="preserve">On the left side, 4 is added to x. The opposite of 'add 4' is ...? Do it on both sides.</t>
  </si>
  <si>
    <t xml:space="preserve">10 or 12</t>
  </si>
  <si>
    <t xml:space="preserve">The steps are correct (15 - 4), but the result is miscalculated.</t>
  </si>
  <si>
    <t xml:space="preserve">Your steps are right! Just double-check the result of 15 - 4.</t>
  </si>
  <si>
    <t xml:space="preserve">-2p + 9 = 25</t>
  </si>
  <si>
    <t xml:space="preserve">p = -8</t>
  </si>
  <si>
    <t xml:space="preserve">Divides 16 : 2, ignoring the negative sign on the coefficient -2.</t>
  </si>
  <si>
    <t xml:space="preserve">Almost! You divided 16 by 2. But the coefficient is -2, not 2. A positive number divided by a negative number gives ...?</t>
  </si>
  <si>
    <t xml:space="preserve">-17</t>
  </si>
  <si>
    <t xml:space="preserve">Adds 9 to the right side (25 + 9) and then divides by -2.</t>
  </si>
  <si>
    <t xml:space="preserve">On the left side, 9 is added to -2p. The opposite of 'add 9' is ...? Do it on both sides.</t>
  </si>
  <si>
    <t xml:space="preserve">16</t>
  </si>
  <si>
    <t xml:space="preserve">Stops at -2p = 16 (not yet divided by -2).</t>
  </si>
  <si>
    <t xml:space="preserve">Good, you removed + 9! But p is still multiplied by -2. Keep going until p is alone.</t>
  </si>
  <si>
    <t xml:space="preserve">-32</t>
  </si>
  <si>
    <t xml:space="preserve">Multiplies 16 x (-2): thinks that removing -2 means multiplying.</t>
  </si>
  <si>
    <t xml:space="preserve">-2p means -2 times p. To get p alone, which operation is the opposite of multiplying?</t>
  </si>
  <si>
    <t xml:space="preserve">7 - 3k = -11</t>
  </si>
  <si>
    <t xml:space="preserve">k = 6</t>
  </si>
  <si>
    <t xml:space="preserve">-6</t>
  </si>
  <si>
    <t xml:space="preserve">Divides -18 : (-3) but writes the result as negative.</t>
  </si>
  <si>
    <t xml:space="preserve">Your steps are good! Check the sign in the last step: is a negative number divided by a negative number positive or negative?</t>
  </si>
  <si>
    <t xml:space="preserve">PR</t>
  </si>
  <si>
    <t xml:space="preserve">Transposition error</t>
  </si>
  <si>
    <t xml:space="preserve">4/3 (≈ 1.33)</t>
  </si>
  <si>
    <t xml:space="preserve">Removes 7 using -11 + 7: the sign of 7 doesn't change when it moves to the other side.</t>
  </si>
  <si>
    <t xml:space="preserve">When 7 moves to the right side, its sign changes. + 7 on the left becomes ... on the right. Try the first step again.</t>
  </si>
  <si>
    <t xml:space="preserve">GS</t>
  </si>
  <si>
    <t xml:space="preserve">Combining unlike terms</t>
  </si>
  <si>
    <t xml:space="preserve">-2.75</t>
  </si>
  <si>
    <t xml:space="preserve">Combines 7 - 3k into 4k (subtracts unlike terms).</t>
  </si>
  <si>
    <t xml:space="preserve">7 and 3k are not like terms: 7 is an ordinary number and 3k contains k. They can't be combined into 4k. Remove 7 from both sides first.</t>
  </si>
  <si>
    <t xml:space="preserve">-18</t>
  </si>
  <si>
    <t xml:space="preserve">Stops at -3k = -18 (not yet divided by -3).</t>
  </si>
  <si>
    <t xml:space="preserve">Almost done! k is still multiplied by -3. Keep going until k is alone.</t>
  </si>
  <si>
    <t xml:space="preserve">2y/5 - 3 = 7</t>
  </si>
  <si>
    <t xml:space="preserve">y = 25</t>
  </si>
  <si>
    <t xml:space="preserve">50</t>
  </si>
  <si>
    <t xml:space="preserve">Stops at 2y = 50 (not yet divided by 2).</t>
  </si>
  <si>
    <t xml:space="preserve">You removed the denominator 5, good! But y is still multiplied by 2. Keep going!</t>
  </si>
  <si>
    <t xml:space="preserve">Multiplies 10 by 2/5 (instead of its reciprocal 5/2).</t>
  </si>
  <si>
    <t xml:space="preserve">To remove the divisor 5, multiply both sides by 5. After that, deal with the 2 in front of y.</t>
  </si>
  <si>
    <t xml:space="preserve">10</t>
  </si>
  <si>
    <t xml:space="preserve">Moves -3 without changing its sign (2y/5 = 7 - 3).</t>
  </si>
  <si>
    <t xml:space="preserve">When - 3 moves to the right side, its sign changes. Try your first step again.</t>
  </si>
  <si>
    <t xml:space="preserve">20 or 30</t>
  </si>
  <si>
    <t xml:space="preserve">The steps are correct (2y = 50), but 50 : 2 is miscalculated.</t>
  </si>
  <si>
    <t xml:space="preserve">Your steps are right! Just double-check the result of 50 : 2.</t>
  </si>
  <si>
    <t xml:space="preserve">3(2n + 1) = 27</t>
  </si>
  <si>
    <t xml:space="preserve">n = 4</t>
  </si>
  <si>
    <t xml:space="preserve">13/3 (≈ 4.33)</t>
  </si>
  <si>
    <t xml:space="preserve">Expands 3(2n + 1) as 6n + 1: the 1 is not multiplied by 3.</t>
  </si>
  <si>
    <t xml:space="preserve">Remember: the number in front of the brackets multiplies EVERYTHING inside. Try multiplying 3 by 2n, then 3 by 1.</t>
  </si>
  <si>
    <t xml:space="preserve">Stops at 2n = 8 (not yet divided by 2).</t>
  </si>
  <si>
    <t xml:space="preserve">You removed + 1, good! But n is still multiplied by 2. Keep going!</t>
  </si>
  <si>
    <t xml:space="preserve">9</t>
  </si>
  <si>
    <t xml:space="preserve">Stops at 2n + 1 = 9 (not yet removing + 1 and the 2).</t>
  </si>
  <si>
    <t xml:space="preserve">You got rid of the 3 in front of the brackets, good! But n still has + 1 with it and is multiplied by 2. Keep going!</t>
  </si>
  <si>
    <t xml:space="preserve">Moves + 1 without changing its sign (2n = 9 + 1).</t>
  </si>
  <si>
    <t xml:space="preserve">When + 1 moves to the right side, its sign changes. Try your steps again.</t>
  </si>
  <si>
    <t xml:space="preserve">10 - 2(x + 3) = 2</t>
  </si>
  <si>
    <t xml:space="preserve">x = 1</t>
  </si>
  <si>
    <t xml:space="preserve">Expands -2(x + 3) as -2x + 6: the negative sign is not multiplied through.</t>
  </si>
  <si>
    <t xml:space="preserve">Check the sign when expanding the brackets: is -2 times + 3 positive or negative?</t>
  </si>
  <si>
    <t xml:space="preserve">2.5</t>
  </si>
  <si>
    <t xml:space="preserve">Expands -2(x + 3) as -2x - 3: the 3 is not multiplied by 2.</t>
  </si>
  <si>
    <t xml:space="preserve">Remember: the number in front of the brackets (including its sign) multiplies EVERYTHING inside. Try multiplying -2 by x, then -2 by 3.</t>
  </si>
  <si>
    <t xml:space="preserve">Computes 10 - 2 = 8 first, giving 8(x + 3) = 2.</t>
  </si>
  <si>
    <t xml:space="preserve">Be careful with the order of operations: 2(x + 3) must be worked out first (multiplication) before it is subtracted from 10.</t>
  </si>
  <si>
    <t xml:space="preserve">-1</t>
  </si>
  <si>
    <t xml:space="preserve">Turns -2x = -2 into x = -1: thinks a negative divided by a negative is negative.</t>
  </si>
  <si>
    <t xml:space="preserve">Ch 4 - Variables on Both Sides</t>
  </si>
  <si>
    <t xml:space="preserve">5x - 3 = 2x + 9</t>
  </si>
  <si>
    <t xml:space="preserve">x = 4</t>
  </si>
  <si>
    <t xml:space="preserve">5x - 2x = 9 - 3: moves -3 without changing its sign.</t>
  </si>
  <si>
    <t xml:space="preserve">When - 3 moves to the right side, its sign changes. - 3 on the left becomes ... on the right. Try again.</t>
  </si>
  <si>
    <t xml:space="preserve">12/7 (≈ 1.71)</t>
  </si>
  <si>
    <t xml:space="preserve">5x + 2x = 9 + 3: moves 2x without changing its sign.</t>
  </si>
  <si>
    <t xml:space="preserve">When 2x moves to the left side, its sign changes too. + 2x on the right becomes ... on the left. Try again.</t>
  </si>
  <si>
    <t xml:space="preserve">Stops at 3x = 12 (not yet divided by 3).</t>
  </si>
  <si>
    <t xml:space="preserve">You managed to gather the terms, great! But x is still multiplied by 3. Keep going!</t>
  </si>
  <si>
    <t xml:space="preserve">3 or 5</t>
  </si>
  <si>
    <t xml:space="preserve">The steps are correct (12 : 3), but the division result is miscalculated.</t>
  </si>
  <si>
    <t xml:space="preserve">Your steps are right! Just double-check the result of 12 : 3.</t>
  </si>
  <si>
    <t xml:space="preserve">7y + 4 = 3y - 12</t>
  </si>
  <si>
    <t xml:space="preserve">y = -4</t>
  </si>
  <si>
    <t xml:space="preserve">-2</t>
  </si>
  <si>
    <t xml:space="preserve">7y - 3y = -12 + 4: moves + 4 without changing its sign.</t>
  </si>
  <si>
    <t xml:space="preserve">When + 4 moves to the right side, its sign changes. Try your moving step again.</t>
  </si>
  <si>
    <t xml:space="preserve">-1.6</t>
  </si>
  <si>
    <t xml:space="preserve">7y + 3y = -12 - 4: moves 3y without changing its sign.</t>
  </si>
  <si>
    <t xml:space="preserve">When 3y moves to the left side, its sign changes too. + 3y on the right becomes ... on the left.</t>
  </si>
  <si>
    <t xml:space="preserve">Divides -16 : 4 but writes the result as positive: the negative sign is lost.</t>
  </si>
  <si>
    <t xml:space="preserve">You divided, good! Check the sign: is -16 divided by 4 positive or negative?</t>
  </si>
  <si>
    <t xml:space="preserve">-16</t>
  </si>
  <si>
    <t xml:space="preserve">Stops at 4y = -16 (not yet divided by 4).</t>
  </si>
  <si>
    <t xml:space="preserve">You managed to gather the terms, great! But y is still multiplied by 4. Keep going!</t>
  </si>
  <si>
    <t xml:space="preserve">4a + 10 = 6a - 2</t>
  </si>
  <si>
    <t xml:space="preserve">a = 6</t>
  </si>
  <si>
    <t xml:space="preserve">-4</t>
  </si>
  <si>
    <t xml:space="preserve">4a - 6a = -2 + 10: moves + 10 without changing its sign.</t>
  </si>
  <si>
    <t xml:space="preserve">When + 10 moves to the right side, its sign changes. Try your moving step again.</t>
  </si>
  <si>
    <t xml:space="preserve">-1.2</t>
  </si>
  <si>
    <t xml:space="preserve">4a + 6a = -2 - 10: moves 6a without changing its sign.</t>
  </si>
  <si>
    <t xml:space="preserve">When 6a moves to the left side, its sign changes too. + 6a on the right becomes ... on the left.</t>
  </si>
  <si>
    <t xml:space="preserve">Turns -2a = -12 into a = -6: thinks a negative divided by a negative is negative.</t>
  </si>
  <si>
    <t xml:space="preserve">Stops at 2a = 12 (not yet divided by 2).</t>
  </si>
  <si>
    <t xml:space="preserve">You managed to gather the terms, great! But a is still multiplied by 2. Keep going!</t>
  </si>
  <si>
    <t xml:space="preserve">3(m + 2) = 2(m + 7)</t>
  </si>
  <si>
    <t xml:space="preserve">m = 8</t>
  </si>
  <si>
    <t xml:space="preserve">Expands 3(m + 2) as 3m + 2: the 2 is not multiplied by 3.</t>
  </si>
  <si>
    <t xml:space="preserve">Remember: the number in front of the brackets multiplies EVERYTHING inside. Check BOTH your left side and your right side.</t>
  </si>
  <si>
    <t xml:space="preserve">Expands 2(m + 7) as 2m + 7: the 7 is not multiplied by 2.</t>
  </si>
  <si>
    <t xml:space="preserve">-8</t>
  </si>
  <si>
    <t xml:space="preserve">3m - 2m = 6 - 14: the order of subtraction is reversed.</t>
  </si>
  <si>
    <t xml:space="preserve">Almost! When you move the constant terms, check the order: the number on the right side minus the number that moved over from the left, not the other way around.</t>
  </si>
  <si>
    <t xml:space="preserve">3m + 2m = 14 + 6: moves 6 and 2m without changing their signs.</t>
  </si>
  <si>
    <t xml:space="preserve">When terms move to the other side, their signs change. Check the signs of 6 and 2m after you moved them.</t>
  </si>
  <si>
    <t xml:space="preserve">The steps are correct (14 - 6), but the result is miscalculated.</t>
  </si>
  <si>
    <t xml:space="preserve">Your steps are right! Just double-check the result of 14 - 6.</t>
  </si>
  <si>
    <t xml:space="preserve">8 - 2p = 4p + 20</t>
  </si>
  <si>
    <t xml:space="preserve">p = -2</t>
  </si>
  <si>
    <t xml:space="preserve">Divides -12 : 6 but writes the result as positive: the negative sign is lost.</t>
  </si>
  <si>
    <t xml:space="preserve">You divided, good! Check the sign: is -12 divided by 6 positive or negative?</t>
  </si>
  <si>
    <t xml:space="preserve">-14/3 (≈ -4.67)</t>
  </si>
  <si>
    <t xml:space="preserve">-2p - 4p = 20 + 8: moves 8 without changing its sign.</t>
  </si>
  <si>
    <t xml:space="preserve">When 8 moves to the right side, its sign changes. + 8 on the left becomes ... on the right.</t>
  </si>
  <si>
    <t xml:space="preserve">8 - 2p + 4p = 20: moves 4p without changing its sign.</t>
  </si>
  <si>
    <t xml:space="preserve">When 4p moves to the left side, its sign changes too. + 4p on the right becomes ... on the left.</t>
  </si>
  <si>
    <t xml:space="preserve">Stops at -12 = 6p (not yet divided by 6).</t>
  </si>
  <si>
    <t xml:space="preserve">You managed to gather the terms, great! But p is still multiplied by 6. Keep going!</t>
  </si>
  <si>
    <t xml:space="preserve">Combines 8 - 2p into 6p (subtracts unlike terms).</t>
  </si>
  <si>
    <t xml:space="preserve">8 and 2p are not like terms: 8 is an ordinary number and 2p contains p. They can't be combined into 6p.</t>
  </si>
  <si>
    <t xml:space="preserve">6k - 5 = 2k + 15</t>
  </si>
  <si>
    <t xml:space="preserve">k = 5</t>
  </si>
  <si>
    <t xml:space="preserve">6k - 2k = 15 - 5: moves - 5 without changing its sign.</t>
  </si>
  <si>
    <t xml:space="preserve">When - 5 moves to the right side, its sign changes. Try your moving step again.</t>
  </si>
  <si>
    <t xml:space="preserve">1.25</t>
  </si>
  <si>
    <t xml:space="preserve">6k + 2k = 15 - 5: moves 2k and - 5 without changing their signs.</t>
  </si>
  <si>
    <t xml:space="preserve">When terms move to the other side, their signs change. Check the signs of 2k and 5 after you moved them.</t>
  </si>
  <si>
    <t xml:space="preserve">Stops at 4k = 20 (not yet divided by 4).</t>
  </si>
  <si>
    <t xml:space="preserve">You managed to gather the terms, great! But k is still multiplied by 4. Keep going!</t>
  </si>
  <si>
    <t xml:space="preserve">80</t>
  </si>
  <si>
    <t xml:space="preserve">Multiplies 20 x 4 (instead of dividing).</t>
  </si>
  <si>
    <t xml:space="preserve">4k means 4 times k. To get k alone, which operation is the opposite of multiplying?</t>
  </si>
  <si>
    <t xml:space="preserve">4 or 6</t>
  </si>
  <si>
    <t xml:space="preserve">The steps are correct (20 : 4), but the division result is miscalculated.</t>
  </si>
  <si>
    <t xml:space="preserve">Your steps are right! Just double-check the result of 20 : 4.</t>
  </si>
  <si>
    <t xml:space="preserve">(1/2)x + 3 = (1/4)x + 5</t>
  </si>
  <si>
    <t xml:space="preserve">0.5</t>
  </si>
  <si>
    <t xml:space="preserve">Multiplies 2 x 1/4: uses the same fraction instead of its reciprocal.</t>
  </si>
  <si>
    <t xml:space="preserve">The coefficient of x is 1/4. To get x alone, multiply by the RECIPROCAL of 1/4.</t>
  </si>
  <si>
    <t xml:space="preserve">Subtracts 1/2 - 1/4 by subtracting the denominators (1/(2 - 4) = -1/2), giving - 1/2 x = 2.</t>
  </si>
  <si>
    <t xml:space="preserve">Fractions are not subtracted by subtracting the denominators! First make the denominators the same (turn them into quarters), then subtract the numerators.</t>
  </si>
  <si>
    <t xml:space="preserve">8/3 (≈ 2.67)</t>
  </si>
  <si>
    <t xml:space="preserve">1/2 x + 1/4 x = 2: moves 1/4 x without changing its sign.</t>
  </si>
  <si>
    <t xml:space="preserve">When 1/4 x moves to the left side, its sign changes too. + 1/4 x on the right becomes ... on the left.</t>
  </si>
  <si>
    <t xml:space="preserve">32</t>
  </si>
  <si>
    <t xml:space="preserve">1/2 x - 1/4 x = 5 + 3: moves + 3 without changing its sign.</t>
  </si>
  <si>
    <t xml:space="preserve">When + 3 moves to the right side, its sign changes. + 3 on the left becomes ... on the right.</t>
  </si>
  <si>
    <t xml:space="preserve">Stops at 1/4 x = 2 (not yet multiplied by 4).</t>
  </si>
  <si>
    <t xml:space="preserve">You managed to gather the terms, great! But x is still multiplied by 1/4. Keep going!</t>
  </si>
  <si>
    <t xml:space="preserve">5(n - 1) = 3(n + 3)</t>
  </si>
  <si>
    <t xml:space="preserve">n = 7</t>
  </si>
  <si>
    <t xml:space="preserve">Expands 5(n - 1) as 5n - 1: the 1 is not multiplied by 5.</t>
  </si>
  <si>
    <t xml:space="preserve">Expands 3(n + 3) as 3n + 3: the second 3 is not multiplied by 3.</t>
  </si>
  <si>
    <t xml:space="preserve">Expands 5(n - 1) as 5n + 5: the negative sign is lost when multiplying.</t>
  </si>
  <si>
    <t xml:space="preserve">Check the sign when expanding the brackets: is 5 x (-1) positive or negative?</t>
  </si>
  <si>
    <t xml:space="preserve">5n + 3n = 9 - 5: moves 3n and - 5 without changing their signs.</t>
  </si>
  <si>
    <t xml:space="preserve">When terms move to the other side, their signs change. Check the signs of 3n and 5 after you moved them.</t>
  </si>
  <si>
    <t xml:space="preserve">The steps are correct (14 : 2), but the division result is miscalculated.</t>
  </si>
  <si>
    <t xml:space="preserve">Your steps are right! Just double-check the result of 14 : 2.</t>
  </si>
  <si>
    <t xml:space="preserve">9x - (2x + 5) = 3x + 11</t>
  </si>
  <si>
    <t xml:space="preserve">1.5</t>
  </si>
  <si>
    <t xml:space="preserve">Expands -(2x + 5) as - 2x + 5: the sign of 5 doesn't change.</t>
  </si>
  <si>
    <t xml:space="preserve">The minus sign in front of the brackets applies to EVERYTHING inside, including 5. Try expanding the brackets once more.</t>
  </si>
  <si>
    <t xml:space="preserve">Expands -(2x + 5) as + 2x - 5: the sign of 2x doesn't change.</t>
  </si>
  <si>
    <t xml:space="preserve">The minus sign in front of the brackets applies to EVERYTHING inside, including 2x. Try expanding the brackets once more.</t>
  </si>
  <si>
    <t xml:space="preserve">Stops at 4x = 16 (not yet divided by 4).</t>
  </si>
  <si>
    <t xml:space="preserve">You managed to gather the terms, great! But x is still multiplied by 4. Keep going!</t>
  </si>
  <si>
    <t xml:space="preserve">The steps are correct (16 : 4), but the division result is miscalculated.</t>
  </si>
  <si>
    <t xml:space="preserve">Your steps are right! Just double-check the result of 16 : 4.</t>
  </si>
  <si>
    <t xml:space="preserve">4(2z - 1) = 2(3z + 5)</t>
  </si>
  <si>
    <t xml:space="preserve">z = 7</t>
  </si>
  <si>
    <t xml:space="preserve">5.5</t>
  </si>
  <si>
    <t xml:space="preserve">Expands 4(2z - 1) as 8z - 1: the 1 is not multiplied by 4.</t>
  </si>
  <si>
    <t xml:space="preserve">Expands 2(3z + 5) as 6z + 5: the 5 is not multiplied by 2.</t>
  </si>
  <si>
    <t xml:space="preserve">Expands 4(2z - 1) as 8z + 4: the negative sign is lost when multiplying.</t>
  </si>
  <si>
    <t xml:space="preserve">Check the sign when expanding the brackets: is 4 x (-1) positive or negative?</t>
  </si>
  <si>
    <t xml:space="preserve">8z + 6z - 4 = 10: moves 6z without changing its sign.</t>
  </si>
  <si>
    <t xml:space="preserve">When 6z moves to the left side, its sign changes. + 6z on the right becomes ... on the left.</t>
  </si>
  <si>
    <t xml:space="preserve">Stops at 2z = 14 (not yet divided by 2).</t>
  </si>
  <si>
    <t xml:space="preserve">You managed to gather the terms, great! But z is still multiplied by 2. Keep going!</t>
  </si>
  <si>
    <t xml:space="preserve">Ch 5 - Ethnomathematics Word Problems</t>
  </si>
  <si>
    <t xml:space="preserve">(Parang Batik Cloth - Java) The price of 3 pieces of Parang batik cloth after a Rp20,000 voucher discount is Rp250,000. What is the original price of 1 piece of Parang batik cloth?</t>
  </si>
  <si>
    <t xml:space="preserve">Rp90,000</t>
  </si>
  <si>
    <t xml:space="preserve">MP</t>
  </si>
  <si>
    <t xml:space="preserve">Wrong equation model (word problem)</t>
  </si>
  <si>
    <t xml:space="preserve">Rp83,333.33</t>
  </si>
  <si>
    <t xml:space="preserve">Ignores the discount: 250,000 : 3.</t>
  </si>
  <si>
    <t xml:space="preserve">Read again: Rp250,000 is the price AFTER the discount, so the original price is higher. How would you write 'original price of 3 pieces minus discount = 250,000' as an equation?</t>
  </si>
  <si>
    <t xml:space="preserve">Rp76,666.67</t>
  </si>
  <si>
    <t xml:space="preserve">Subtracts the discount from the final price: (250,000 - 20,000) : 3.</t>
  </si>
  <si>
    <t xml:space="preserve">The price after the discount is lower than the original price. To go back to the original price, what should you do with the discount: subtract it again or give it back?</t>
  </si>
  <si>
    <t xml:space="preserve">Rp103,333.33</t>
  </si>
  <si>
    <t xml:space="preserve">Thinks the discount applies per piece: x - 20,000 = 250,000 : 3.</t>
  </si>
  <si>
    <t xml:space="preserve">The Rp20,000 discount applies to the whole purchase (3 pieces), not to each piece. In which part of your equation should the discount be written?</t>
  </si>
  <si>
    <t xml:space="preserve">Rp270,000</t>
  </si>
  <si>
    <t xml:space="preserve">Stops at 3x = 270,000 (original price of 3 pieces), forgetting to divide by 3.</t>
  </si>
  <si>
    <t xml:space="preserve">Great, your equation is right! But 270,000 is the original price for 3 pieces. The question asks for the original price of 1 piece.</t>
  </si>
  <si>
    <t xml:space="preserve">(Borobudur Temple - Central Java) The lower tier has 15 more stones than the upper tier. If the two tiers have 85 stones in total, how many stones are on the upper tier?</t>
  </si>
  <si>
    <t xml:space="preserve">35 stones</t>
  </si>
  <si>
    <t xml:space="preserve">42.5</t>
  </si>
  <si>
    <t xml:space="preserve">Divides the total 85 : 2: assumes both tiers have the same number of stones.</t>
  </si>
  <si>
    <t xml:space="preserve">The two tiers do not have the same number of stones! The lower tier has 15 more. If the upper tier = x, how do you write the stones in the lower tier?</t>
  </si>
  <si>
    <t xml:space="preserve">PT</t>
  </si>
  <si>
    <t xml:space="preserve">Answers a different quantity</t>
  </si>
  <si>
    <t xml:space="preserve">Answers the number of stones in the lower tier, or models upper = lower + 15.</t>
  </si>
  <si>
    <t xml:space="preserve">Check the question: are you asked for the upper or the lower tier? Also check which one has more, the upper or the lower?</t>
  </si>
  <si>
    <t xml:space="preserve">70</t>
  </si>
  <si>
    <t xml:space="preserve">Stops at 2x = 70 (not yet divided by 2).</t>
  </si>
  <si>
    <t xml:space="preserve">You dealt with + 15, good! But 2x is not the answer: x is still multiplied by 2. Keep going!</t>
  </si>
  <si>
    <t xml:space="preserve">(Angklung - West Java) A large angklung costs Rp15,000 more than a small angklung. A buyer pays Rp105,000 for 2 small angklungs and 1 large angklung. What is the price of 1 small angklung?</t>
  </si>
  <si>
    <t xml:space="preserve">Rp30,000</t>
  </si>
  <si>
    <t xml:space="preserve">Rp45,000</t>
  </si>
  <si>
    <t xml:space="preserve">Answers the price of the large angklung (x + 15,000).</t>
  </si>
  <si>
    <t xml:space="preserve">You found the price of one of the angklungs, but check the question: is it asking for the small or the large angklung?</t>
  </si>
  <si>
    <t xml:space="preserve">Rp35,000</t>
  </si>
  <si>
    <t xml:space="preserve">Divides 105,000 : 3: assumes all three angklungs cost the same.</t>
  </si>
  <si>
    <t xml:space="preserve">The large angklung is not the same price as the small one (it is Rp15,000 more expensive). Don't ignore that difference when setting up your equation.</t>
  </si>
  <si>
    <t xml:space="preserve">Rp25,000</t>
  </si>
  <si>
    <t xml:space="preserve">Writes 2(x + 15,000) + x = 105,000: the part multiplied by 2 is swapped.</t>
  </si>
  <si>
    <t xml:space="preserve">The buyer bought 2 SMALL angklungs and 1 LARGE angklung. Check again which part is multiplied by 2.</t>
  </si>
  <si>
    <t xml:space="preserve">Rp40,000</t>
  </si>
  <si>
    <t xml:space="preserve">Adds the difference: (105,000 + 15,000) : 3.</t>
  </si>
  <si>
    <t xml:space="preserve">The Rp15,000 difference only applies to the large angklung. From the total, that difference must be removed first (subtracted), not added.</t>
  </si>
  <si>
    <t xml:space="preserve">Stops at 3x = 90,000 (not yet divided by 3).</t>
  </si>
  <si>
    <t xml:space="preserve">Great, your equation is right! But 90,000 is for 3 small angklungs. What is the price of 1 small angklung?</t>
  </si>
  <si>
    <t xml:space="preserve">(Rumah Gadang - West Sumatra) A wall carving is a rectangle with length (2x + 3) cm and width x cm. If its perimeter is 54 cm, what is the value of x?</t>
  </si>
  <si>
    <t xml:space="preserve">Uses perimeter = length + width (forgets to multiply by 2).</t>
  </si>
  <si>
    <t xml:space="preserve">The perimeter of a rectangle = 2 x (length + width). Rewrite your equation using the complete perimeter formula.</t>
  </si>
  <si>
    <t xml:space="preserve">9.6</t>
  </si>
  <si>
    <t xml:space="preserve">Uses perimeter = 2 x length + width (the 2 only multiplies the length).</t>
  </si>
  <si>
    <t xml:space="preserve">In perimeter = 2 x (length + width), the 2 multiplies BOTH. Check the brackets in your equation.</t>
  </si>
  <si>
    <t xml:space="preserve">8.5</t>
  </si>
  <si>
    <t xml:space="preserve">Expands 2(3x + 3) as 6x + 3: the 3 is not multiplied by 2.</t>
  </si>
  <si>
    <t xml:space="preserve">The 2 in front of the brackets must multiply both terms inside, including the 3.</t>
  </si>
  <si>
    <t xml:space="preserve">Stops at 3x = 24 (not yet divided by 3).</t>
  </si>
  <si>
    <t xml:space="preserve">Your equation is right and you're almost there! But x is still multiplied by 3. Keep going!</t>
  </si>
  <si>
    <t xml:space="preserve">(Lupis Cake - Java) Mother buys 5 packs of lupis cake and hands over Rp50,000. Her change is Rp15,000. What is the price of 1 pack of lupis cake?</t>
  </si>
  <si>
    <t xml:space="preserve">Rp7,000</t>
  </si>
  <si>
    <t xml:space="preserve">Rp13,000</t>
  </si>
  <si>
    <t xml:space="preserve">Adds the change: (50,000 + 15,000) : 5.</t>
  </si>
  <si>
    <t xml:space="preserve">Mother handed over Rp50,000, then part of it came back. So the price of 5 packs = the money given ... the change. Rewrite your equation.</t>
  </si>
  <si>
    <t xml:space="preserve">Rp10,000</t>
  </si>
  <si>
    <t xml:space="preserve">Ignores the change: 50,000 : 5.</t>
  </si>
  <si>
    <t xml:space="preserve">Mother did not spend all of the Rp50,000: there is Rp15,000 in change. Include the change in your equation.</t>
  </si>
  <si>
    <t xml:space="preserve">Rp3,000</t>
  </si>
  <si>
    <t xml:space="preserve">Uses only the change: 15,000 : 5.</t>
  </si>
  <si>
    <t xml:space="preserve">Rp15,000 is the change, not the price of the cakes. The price of the cakes is the money actually paid. How much is that?</t>
  </si>
  <si>
    <t xml:space="preserve">Stops at 5x = 35,000 (price of 5 packs), forgetting to divide by 5.</t>
  </si>
  <si>
    <t xml:space="preserve">Great, your equation is right! But 35,000 is the price of 5 packs. The question asks for the price of 1 pack.</t>
  </si>
  <si>
    <t xml:space="preserve">Rp6,000 or Rp8,000</t>
  </si>
  <si>
    <t xml:space="preserve">The steps are correct (35,000 : 5), but the division result is miscalculated.</t>
  </si>
  <si>
    <t xml:space="preserve">Your steps are right! Just double-check the result of 35,000 : 5.</t>
  </si>
  <si>
    <t xml:space="preserve">(Keris - Nusantara) The Luk 5 keris is 8 cm longer than the Luk 3 keris. The total length of the two keris side by side is 72 cm. What is the length of the Luk 3 keris?</t>
  </si>
  <si>
    <t xml:space="preserve">32 cm</t>
  </si>
  <si>
    <t xml:space="preserve">Divides the total 72 : 2: assumes both keris are the same length.</t>
  </si>
  <si>
    <t xml:space="preserve">The Luk 5 keris is 8 cm longer than the Luk 3 keris. If Luk 3 = x, how do you write the length of Luk 5?</t>
  </si>
  <si>
    <t xml:space="preserve">40</t>
  </si>
  <si>
    <t xml:space="preserve">Answers the length of the Luk 5 keris, or models Luk 3 = Luk 5 + 8.</t>
  </si>
  <si>
    <t xml:space="preserve">Check the question: are you asked for Luk 3 or Luk 5? And which one is longer?</t>
  </si>
  <si>
    <t xml:space="preserve">64</t>
  </si>
  <si>
    <t xml:space="preserve">Stops at 2x = 64 (not yet divided by 2).</t>
  </si>
  <si>
    <t xml:space="preserve">Your equation is right and you're almost there! But x is still multiplied by 2. Keep going!</t>
  </si>
  <si>
    <t xml:space="preserve">31 or 33</t>
  </si>
  <si>
    <t xml:space="preserve">The steps are correct (64 : 2), but the division result is miscalculated.</t>
  </si>
  <si>
    <t xml:space="preserve">Your steps are right! Just double-check the result of 64 : 2.</t>
  </si>
  <si>
    <t xml:space="preserve">(Congklak) Budi has 3 times as many seeds as Ani. If Budi gives 10 seeds to Ani, they have the same number of seeds. How many seeds does Ani have at the start of the game?</t>
  </si>
  <si>
    <t xml:space="preserve">10 seeds</t>
  </si>
  <si>
    <t xml:space="preserve">30</t>
  </si>
  <si>
    <t xml:space="preserve">Answers the number of Budi's seeds before giving (3x).</t>
  </si>
  <si>
    <t xml:space="preserve">You found x correctly! But check the question: is it asking for Ani's seeds or Budi's seeds?</t>
  </si>
  <si>
    <t xml:space="preserve">Writes 3x - 10 = x: forgets that Ani receives 10 seeds.</t>
  </si>
  <si>
    <t xml:space="preserve">When Budi gives away 10 seeds, Ani's seeds change too. How do you write Ani's seeds after receiving 10?</t>
  </si>
  <si>
    <t xml:space="preserve">-10</t>
  </si>
  <si>
    <t xml:space="preserve">Writes 3x + 10 = x - 10: the giver and the receiver are swapped.</t>
  </si>
  <si>
    <t xml:space="preserve">Budi GIVES 10 seeds (his seeds decrease), Ani RECEIVES them (her seeds increase). Check the signs on both sides of your equation.</t>
  </si>
  <si>
    <t xml:space="preserve">Stops at 2x = 20 (not yet divided by 2).</t>
  </si>
  <si>
    <t xml:space="preserve">(Ulos Cloth - North Sumatra) Two Ulos cloths (standard and super) are sold for Rp450,000 in total. The super Ulos is Rp90,000 more expensive than the standard one. What is the price of the standard Ulos?</t>
  </si>
  <si>
    <t xml:space="preserve">Rp180,000</t>
  </si>
  <si>
    <t xml:space="preserve">Answers the price of the super Ulos, or models standard = super + 90,000.</t>
  </si>
  <si>
    <t xml:space="preserve">Check the question: are you asked for the standard or the super Ulos? And which one is more expensive?</t>
  </si>
  <si>
    <t xml:space="preserve">Rp225,000</t>
  </si>
  <si>
    <t xml:space="preserve">Divides the total 450,000 : 2: assumes both Ulos cost the same.</t>
  </si>
  <si>
    <t xml:space="preserve">The super Ulos costs Rp90,000 more. If the standard Ulos = x, how do you write the price of the super Ulos?</t>
  </si>
  <si>
    <t xml:space="preserve">Rp360,000</t>
  </si>
  <si>
    <t xml:space="preserve">Stops at 2x = 360,000 (not yet divided by 2).</t>
  </si>
  <si>
    <t xml:space="preserve">Rp170,000 or Rp190,000</t>
  </si>
  <si>
    <t xml:space="preserve">The steps are correct (360,000 : 2), but the division result is miscalculated.</t>
  </si>
  <si>
    <t xml:space="preserve">Your steps are right! Just double-check the result of 360,000 : 2.</t>
  </si>
  <si>
    <t xml:space="preserve">(Piring Dance - West Sumatra) The reserve plates are 1/4 of the number of main plates held by the dancer. If there are 25 plates in total, how many main plates are there?</t>
  </si>
  <si>
    <t xml:space="preserve">20 plates</t>
  </si>
  <si>
    <t xml:space="preserve">Answers the number of reserve plates (x : 4).</t>
  </si>
  <si>
    <t xml:space="preserve">You found the number of one type of plate! Check the question: main plates or reserve plates?</t>
  </si>
  <si>
    <t xml:space="preserve">6.25</t>
  </si>
  <si>
    <t xml:space="preserve">Computes 25 : 4: assumes reserve = 1/4 of ALL the plates.</t>
  </si>
  <si>
    <t xml:space="preserve">The reserve plates are 1/4 of the MAIN plates, not of all the plates. If main = x, how do you write the reserve plates?</t>
  </si>
  <si>
    <t xml:space="preserve">18.75</t>
  </si>
  <si>
    <t xml:space="preserve">Computes main = 25 - 25/4: the reserve is assumed to be 1/4 of all the plates.</t>
  </si>
  <si>
    <t xml:space="preserve">100</t>
  </si>
  <si>
    <t xml:space="preserve">Computes 25 x 4: assumes 25 is the number of reserve plates.</t>
  </si>
  <si>
    <t xml:space="preserve">25 is the number of ALL the plates (main + reserve). Write main and reserve in terms of x, then add them up to make 25.</t>
  </si>
  <si>
    <t xml:space="preserve">31.25</t>
  </si>
  <si>
    <t xml:space="preserve">Multiplies 25 x 5/4: uses the same fraction instead of its reciprocal.</t>
  </si>
  <si>
    <t xml:space="preserve">The coefficient of x is 5/4. To get x alone, multiply by the RECIPROCAL of 5/4.</t>
  </si>
  <si>
    <t xml:space="preserve">62.5</t>
  </si>
  <si>
    <t xml:space="preserve">Adds x + 1/4 x as 2/5 x (adds the numerators and the denominators separately).</t>
  </si>
  <si>
    <t xml:space="preserve">Be careful when adding: x + 1/4 x is not 2/5 x. Turn x into 4/4 x first, then add the numerators.</t>
  </si>
  <si>
    <t xml:space="preserve">(Sekaten - Yogyakarta) The number of red wajik is 20 fewer than twice the number of white wajik. If there are 80 red wajik, how many white wajik are there?</t>
  </si>
  <si>
    <t xml:space="preserve">50 pieces</t>
  </si>
  <si>
    <t xml:space="preserve">Reads 'fewer than' as addition: 2x + 20 = 80.</t>
  </si>
  <si>
    <t xml:space="preserve">'20 fewer than twice' means twice x MINUS 20. Rewrite your equation.</t>
  </si>
  <si>
    <t xml:space="preserve">Stops at 2x = 100 (not yet divided by 2), or skips 'twice' (x - 20 = 80).</t>
  </si>
  <si>
    <t xml:space="preserve">Check your equation: is there a 'twice' for the white wajik? And if so, x is still multiplied by 2, so keep going!</t>
  </si>
  <si>
    <t xml:space="preserve">Answers the number of red wajik (already known in the problem).</t>
  </si>
  <si>
    <t xml:space="preserve">80 is the number of red wajik and it is already known. Check the question: are you asked for white or red wajik?</t>
  </si>
  <si>
    <t xml:space="preserve">40 or 60</t>
  </si>
  <si>
    <t xml:space="preserve">The steps are correct (100 : 2), but the division result is miscalculated.</t>
  </si>
  <si>
    <t xml:space="preserve">Your steps are right! Just double-check the result of 100 : 2.</t>
  </si>
  <si>
    <t xml:space="preserve">Description</t>
  </si>
  <si>
    <t xml:space="preserve">Rows in Bank</t>
  </si>
  <si>
    <t xml:space="preserve">Repeats the same operation (+ or -) or picks the wrong opposite operation to isolate the term.</t>
  </si>
  <si>
    <t xml:space="preserve">The negative sign is lost, the sign of the result is wrong, or the order of subtraction is reversed.</t>
  </si>
  <si>
    <t xml:space="preserve">The steps are correct, but the arithmetic result is wrong.</t>
  </si>
  <si>
    <t xml:space="preserve">Multiplies when the step should be division (or the other way around), or divides in the wrong order.</t>
  </si>
  <si>
    <t xml:space="preserve">Stops midway (for example at 2x = 12) and answers with the intermediate result.</t>
  </si>
  <si>
    <t xml:space="preserve">Mishandles fractions or decimals: decimal point placement, adding fractions incorrectly, or ignoring a fraction.</t>
  </si>
  <si>
    <t xml:space="preserve">Divides or multiplies only one term instead of the whole side.</t>
  </si>
  <si>
    <t xml:space="preserve">The number outside the brackets is not multiplied by every term, or the sign is wrong when expanding.</t>
  </si>
  <si>
    <t xml:space="preserve">Moves a term to the other side without changing its sign.</t>
  </si>
  <si>
    <t xml:space="preserve">Combines a constant with a variable term, or misreads the order of operations in an algebraic expression.</t>
  </si>
  <si>
    <t xml:space="preserve">Translates the story into an equation incorrectly: ignores the difference, wrong direction, or wrong formula.</t>
  </si>
  <si>
    <t xml:space="preserve">The equation is right, but the answer is not the quantity being asked for.</t>
  </si>
  <si>
    <t xml:space="preserve">Total</t>
  </si>
  <si>
    <t xml:space="preserve">When to Use</t>
  </si>
  <si>
    <t xml:space="preserve">Fallback Feedback (General / Neutral)</t>
  </si>
  <si>
    <t xml:space="preserve">The answer is wrong and is not in the Feedback Bank</t>
  </si>
  <si>
    <t xml:space="preserve">Try checking your solution again from the beginning. Is there an operation or calculation that is incorrect?</t>
  </si>
  <si>
    <t xml:space="preserve">Alternative (the next wrong answer on the same question that is also not in the bank)</t>
  </si>
  <si>
    <t xml:space="preserve">Not quite. Try plugging your answer into the equation: are the left and right sides equal? If not, rewrite your steps one by one.</t>
  </si>
  <si>
    <t xml:space="preserve">Note</t>
  </si>
  <si>
    <t xml:space="preserve">This feedback deliberately does not name a specific error type, because the system cannot yet identify the cause of an unlisted answer. The alternative row is optional; delete it if not needed.</t>
  </si>
  <si>
    <t xml:space="preserve">Notes: Error Bank and Feedback for SOLVOX (English Version)</t>
  </si>
  <si>
    <t xml:space="preserve">Decisions on the problem set</t>
  </si>
  <si>
    <t xml:space="preserve">Problem 19: the key used is n = -20, so the problem reads -(3/4)n = 15. The problem text in the SOAL SOAL SOLVOX document needs a minus sign in front of 3/4 to match the key and the worked solution.</t>
  </si>
  <si>
    <t xml:space="preserve">Problem 7 (k + 1/2 = 3): the correct answer is accepted as 5/2 and 2.5.</t>
  </si>
  <si>
    <t xml:space="preserve">How to use this bank in the game</t>
  </si>
  <si>
    <t xml:space="preserve">Column G (Possible Wrong Answer(s)) holds the values a student may enter on the keypad. If the student's answer equals one of the values in column G, show the feedback in column I from that row.</t>
  </si>
  <si>
    <t xml:space="preserve">If the student's answer is not in the bank, show the general, neutral Fallback Feedback (sheet Fallback Feedback) instead of feedback for a specific error type, because the system cannot yet identify the cause. Record the unlisted answer in the play log.</t>
  </si>
  <si>
    <t xml:space="preserve">If one wrong value can come from two causes, the bank keeps one row per value. For example, problems 42, 46 and 48 combine 'answers a different quantity' with 'reversed model', and problem 50 combines 'stops at 2x = 100' with 'skips twice'. The feedback on those rows is written so it fits both causes.</t>
  </si>
  <si>
    <t xml:space="preserve">The feedback deliberately does not contain the correct answer. Its job is to point to where the mistake is and prompt the student to fix it, which leaves room for the tiered Hint feature.</t>
  </si>
  <si>
    <t xml:space="preserve">Values in column G use English notation (decimal point, comma as the thousands separator for Rp amounts). Non-terminating fractions are written as a/b with an approximate decimal, for example 12/7 (approx. 1.71). Make sure the game compares numeric values, not text.</t>
  </si>
  <si>
    <t xml:space="preserve">This English version mirrors the Indonesian version row by row (same 195 rows, same order, same error codes), so both languages can share one answer-matching logic and only the displayed text changes.</t>
  </si>
  <si>
    <t xml:space="preserve">Limitations</t>
  </si>
  <si>
    <t xml:space="preserve">All wrong answers and student reasoning in this bank are educated guesses based on common algebra misconceptions (sign errors, wrong transposition, wrong bracket expansion, wrong modelling of word problems, and so on). No student data has confirmed them yet.</t>
  </si>
  <si>
    <t xml:space="preserve">During trials with students, look for the most frequent wrong answers that are not yet in the bank and add them as new rows. That keeps the bank accurate and gives you evidence for an error analysis in the competition report or thesis.</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</si>
</sst>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b val="true"/>
      <sz val="12"/>
      <name val="Arial"/>
      <family val="0"/>
      <charset val="1"/>
    </font>
    <font>
      <b val="true"/>
      <sz val="10"/>
      <color rgb="FF1F3864"/>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EEF3FA"/>
        <bgColor rgb="FFFFFFFF"/>
      </patternFill>
    </fill>
    <fill>
      <patternFill patternType="solid">
        <fgColor rgb="FFFFFFFF"/>
        <bgColor rgb="FFEEF3F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EEF3FA"/>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EF3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36"/>
    <col collapsed="false" customWidth="true" hidden="false" outlineLevel="0" max="4" min="4" style="0" width="18"/>
    <col collapsed="false" customWidth="true" hidden="false" outlineLevel="0" max="5" min="5" style="0" width="7"/>
    <col collapsed="false" customWidth="true" hidden="false" outlineLevel="0" max="6" min="6" style="0" width="26"/>
    <col collapsed="false" customWidth="true" hidden="false" outlineLevel="0" max="7" min="7" style="0" width="24"/>
    <col collapsed="false" customWidth="true" hidden="false" outlineLevel="0" max="8" min="8" style="0" width="42"/>
    <col collapsed="false" customWidth="true" hidden="false" outlineLevel="0" max="9" min="9" style="0" width="62"/>
  </cols>
  <sheetData>
    <row r="1" customFormat="false" ht="31.5" hidden="false" customHeight="true" outlineLevel="0" collapsed="false">
      <c r="A1" s="1" t="s">
        <v>0</v>
      </c>
      <c r="B1" s="1" t="s">
        <v>1</v>
      </c>
      <c r="C1" s="1" t="s">
        <v>2</v>
      </c>
      <c r="D1" s="1" t="s">
        <v>3</v>
      </c>
      <c r="E1" s="1" t="s">
        <v>4</v>
      </c>
      <c r="F1" s="1" t="s">
        <v>5</v>
      </c>
      <c r="G1" s="1" t="s">
        <v>6</v>
      </c>
      <c r="H1" s="1" t="s">
        <v>7</v>
      </c>
      <c r="I1" s="1" t="s">
        <v>8</v>
      </c>
    </row>
    <row r="2" customFormat="false" ht="23.85" hidden="false" customHeight="false" outlineLevel="0" collapsed="false">
      <c r="A2" s="2" t="n">
        <v>1</v>
      </c>
      <c r="B2" s="3" t="s">
        <v>9</v>
      </c>
      <c r="C2" s="3" t="s">
        <v>10</v>
      </c>
      <c r="D2" s="3" t="s">
        <v>11</v>
      </c>
      <c r="E2" s="2" t="s">
        <v>12</v>
      </c>
      <c r="F2" s="3" t="s">
        <v>13</v>
      </c>
      <c r="G2" s="4" t="s">
        <v>14</v>
      </c>
      <c r="H2" s="3" t="s">
        <v>15</v>
      </c>
      <c r="I2" s="3" t="s">
        <v>16</v>
      </c>
    </row>
    <row r="3" customFormat="false" ht="23.85" hidden="false" customHeight="false" outlineLevel="0" collapsed="false">
      <c r="A3" s="2" t="n">
        <v>1</v>
      </c>
      <c r="B3" s="3" t="s">
        <v>9</v>
      </c>
      <c r="C3" s="3" t="s">
        <v>10</v>
      </c>
      <c r="D3" s="3" t="s">
        <v>11</v>
      </c>
      <c r="E3" s="2" t="s">
        <v>17</v>
      </c>
      <c r="F3" s="3" t="s">
        <v>18</v>
      </c>
      <c r="G3" s="4" t="s">
        <v>19</v>
      </c>
      <c r="H3" s="3" t="s">
        <v>20</v>
      </c>
      <c r="I3" s="3" t="s">
        <v>21</v>
      </c>
    </row>
    <row r="4" customFormat="false" ht="23.85" hidden="false" customHeight="false" outlineLevel="0" collapsed="false">
      <c r="A4" s="2" t="n">
        <v>1</v>
      </c>
      <c r="B4" s="3" t="s">
        <v>9</v>
      </c>
      <c r="C4" s="3" t="s">
        <v>10</v>
      </c>
      <c r="D4" s="3" t="s">
        <v>11</v>
      </c>
      <c r="E4" s="2" t="s">
        <v>22</v>
      </c>
      <c r="F4" s="3" t="s">
        <v>23</v>
      </c>
      <c r="G4" s="4" t="s">
        <v>24</v>
      </c>
      <c r="H4" s="3" t="s">
        <v>25</v>
      </c>
      <c r="I4" s="3" t="s">
        <v>26</v>
      </c>
    </row>
    <row r="5" customFormat="false" ht="23.85" hidden="false" customHeight="false" outlineLevel="0" collapsed="false">
      <c r="A5" s="5" t="n">
        <v>2</v>
      </c>
      <c r="B5" s="6" t="s">
        <v>9</v>
      </c>
      <c r="C5" s="6" t="s">
        <v>27</v>
      </c>
      <c r="D5" s="6" t="s">
        <v>28</v>
      </c>
      <c r="E5" s="5" t="s">
        <v>12</v>
      </c>
      <c r="F5" s="6" t="s">
        <v>13</v>
      </c>
      <c r="G5" s="7" t="s">
        <v>29</v>
      </c>
      <c r="H5" s="6" t="s">
        <v>30</v>
      </c>
      <c r="I5" s="6" t="s">
        <v>31</v>
      </c>
    </row>
    <row r="6" customFormat="false" ht="23.85" hidden="false" customHeight="false" outlineLevel="0" collapsed="false">
      <c r="A6" s="5" t="n">
        <v>2</v>
      </c>
      <c r="B6" s="6" t="s">
        <v>9</v>
      </c>
      <c r="C6" s="6" t="s">
        <v>27</v>
      </c>
      <c r="D6" s="6" t="s">
        <v>28</v>
      </c>
      <c r="E6" s="5" t="s">
        <v>32</v>
      </c>
      <c r="F6" s="6" t="s">
        <v>33</v>
      </c>
      <c r="G6" s="7" t="s">
        <v>34</v>
      </c>
      <c r="H6" s="6" t="s">
        <v>35</v>
      </c>
      <c r="I6" s="6" t="s">
        <v>36</v>
      </c>
    </row>
    <row r="7" customFormat="false" ht="23.85" hidden="false" customHeight="false" outlineLevel="0" collapsed="false">
      <c r="A7" s="5" t="n">
        <v>2</v>
      </c>
      <c r="B7" s="6" t="s">
        <v>9</v>
      </c>
      <c r="C7" s="6" t="s">
        <v>27</v>
      </c>
      <c r="D7" s="6" t="s">
        <v>28</v>
      </c>
      <c r="E7" s="5" t="s">
        <v>17</v>
      </c>
      <c r="F7" s="6" t="s">
        <v>18</v>
      </c>
      <c r="G7" s="7" t="s">
        <v>37</v>
      </c>
      <c r="H7" s="6" t="s">
        <v>38</v>
      </c>
      <c r="I7" s="6" t="s">
        <v>39</v>
      </c>
    </row>
    <row r="8" customFormat="false" ht="23.85" hidden="false" customHeight="false" outlineLevel="0" collapsed="false">
      <c r="A8" s="2" t="n">
        <v>3</v>
      </c>
      <c r="B8" s="3" t="s">
        <v>9</v>
      </c>
      <c r="C8" s="3" t="s">
        <v>40</v>
      </c>
      <c r="D8" s="3" t="s">
        <v>41</v>
      </c>
      <c r="E8" s="2" t="s">
        <v>32</v>
      </c>
      <c r="F8" s="3" t="s">
        <v>33</v>
      </c>
      <c r="G8" s="4" t="s">
        <v>42</v>
      </c>
      <c r="H8" s="3" t="s">
        <v>43</v>
      </c>
      <c r="I8" s="3" t="s">
        <v>44</v>
      </c>
    </row>
    <row r="9" customFormat="false" ht="23.85" hidden="false" customHeight="false" outlineLevel="0" collapsed="false">
      <c r="A9" s="2" t="n">
        <v>3</v>
      </c>
      <c r="B9" s="3" t="s">
        <v>9</v>
      </c>
      <c r="C9" s="3" t="s">
        <v>40</v>
      </c>
      <c r="D9" s="3" t="s">
        <v>41</v>
      </c>
      <c r="E9" s="2" t="s">
        <v>12</v>
      </c>
      <c r="F9" s="3" t="s">
        <v>13</v>
      </c>
      <c r="G9" s="4" t="s">
        <v>45</v>
      </c>
      <c r="H9" s="3" t="s">
        <v>46</v>
      </c>
      <c r="I9" s="3" t="s">
        <v>47</v>
      </c>
    </row>
    <row r="10" customFormat="false" ht="23.85" hidden="false" customHeight="false" outlineLevel="0" collapsed="false">
      <c r="A10" s="2" t="n">
        <v>3</v>
      </c>
      <c r="B10" s="3" t="s">
        <v>9</v>
      </c>
      <c r="C10" s="3" t="s">
        <v>40</v>
      </c>
      <c r="D10" s="3" t="s">
        <v>41</v>
      </c>
      <c r="E10" s="2" t="s">
        <v>17</v>
      </c>
      <c r="F10" s="3" t="s">
        <v>18</v>
      </c>
      <c r="G10" s="4" t="s">
        <v>48</v>
      </c>
      <c r="H10" s="3" t="s">
        <v>49</v>
      </c>
      <c r="I10" s="3" t="s">
        <v>50</v>
      </c>
    </row>
    <row r="11" customFormat="false" ht="23.85" hidden="false" customHeight="false" outlineLevel="0" collapsed="false">
      <c r="A11" s="5" t="n">
        <v>4</v>
      </c>
      <c r="B11" s="6" t="s">
        <v>9</v>
      </c>
      <c r="C11" s="6" t="s">
        <v>51</v>
      </c>
      <c r="D11" s="6" t="s">
        <v>52</v>
      </c>
      <c r="E11" s="5" t="s">
        <v>12</v>
      </c>
      <c r="F11" s="6" t="s">
        <v>13</v>
      </c>
      <c r="G11" s="7" t="s">
        <v>53</v>
      </c>
      <c r="H11" s="6" t="s">
        <v>54</v>
      </c>
      <c r="I11" s="6" t="s">
        <v>55</v>
      </c>
    </row>
    <row r="12" customFormat="false" ht="23.85" hidden="false" customHeight="false" outlineLevel="0" collapsed="false">
      <c r="A12" s="5" t="n">
        <v>4</v>
      </c>
      <c r="B12" s="6" t="s">
        <v>9</v>
      </c>
      <c r="C12" s="6" t="s">
        <v>51</v>
      </c>
      <c r="D12" s="6" t="s">
        <v>52</v>
      </c>
      <c r="E12" s="5" t="s">
        <v>32</v>
      </c>
      <c r="F12" s="6" t="s">
        <v>33</v>
      </c>
      <c r="G12" s="7" t="s">
        <v>56</v>
      </c>
      <c r="H12" s="6" t="s">
        <v>57</v>
      </c>
      <c r="I12" s="6" t="s">
        <v>58</v>
      </c>
    </row>
    <row r="13" customFormat="false" ht="23.85" hidden="false" customHeight="false" outlineLevel="0" collapsed="false">
      <c r="A13" s="5" t="n">
        <v>4</v>
      </c>
      <c r="B13" s="6" t="s">
        <v>9</v>
      </c>
      <c r="C13" s="6" t="s">
        <v>51</v>
      </c>
      <c r="D13" s="6" t="s">
        <v>52</v>
      </c>
      <c r="E13" s="5" t="s">
        <v>32</v>
      </c>
      <c r="F13" s="6" t="s">
        <v>33</v>
      </c>
      <c r="G13" s="7" t="s">
        <v>59</v>
      </c>
      <c r="H13" s="6" t="s">
        <v>60</v>
      </c>
      <c r="I13" s="6" t="s">
        <v>61</v>
      </c>
    </row>
    <row r="14" customFormat="false" ht="23.85" hidden="false" customHeight="false" outlineLevel="0" collapsed="false">
      <c r="A14" s="2" t="n">
        <v>5</v>
      </c>
      <c r="B14" s="3" t="s">
        <v>9</v>
      </c>
      <c r="C14" s="3" t="s">
        <v>62</v>
      </c>
      <c r="D14" s="3" t="s">
        <v>63</v>
      </c>
      <c r="E14" s="2" t="s">
        <v>12</v>
      </c>
      <c r="F14" s="3" t="s">
        <v>13</v>
      </c>
      <c r="G14" s="4" t="s">
        <v>64</v>
      </c>
      <c r="H14" s="3" t="s">
        <v>65</v>
      </c>
      <c r="I14" s="3" t="s">
        <v>66</v>
      </c>
    </row>
    <row r="15" customFormat="false" ht="23.85" hidden="false" customHeight="false" outlineLevel="0" collapsed="false">
      <c r="A15" s="2" t="n">
        <v>5</v>
      </c>
      <c r="B15" s="3" t="s">
        <v>9</v>
      </c>
      <c r="C15" s="3" t="s">
        <v>62</v>
      </c>
      <c r="D15" s="3" t="s">
        <v>63</v>
      </c>
      <c r="E15" s="2" t="s">
        <v>32</v>
      </c>
      <c r="F15" s="3" t="s">
        <v>33</v>
      </c>
      <c r="G15" s="4" t="s">
        <v>67</v>
      </c>
      <c r="H15" s="3" t="s">
        <v>68</v>
      </c>
      <c r="I15" s="3" t="s">
        <v>69</v>
      </c>
    </row>
    <row r="16" customFormat="false" ht="23.85" hidden="false" customHeight="false" outlineLevel="0" collapsed="false">
      <c r="A16" s="2" t="n">
        <v>5</v>
      </c>
      <c r="B16" s="3" t="s">
        <v>9</v>
      </c>
      <c r="C16" s="3" t="s">
        <v>62</v>
      </c>
      <c r="D16" s="3" t="s">
        <v>63</v>
      </c>
      <c r="E16" s="2" t="s">
        <v>17</v>
      </c>
      <c r="F16" s="3" t="s">
        <v>18</v>
      </c>
      <c r="G16" s="4" t="s">
        <v>70</v>
      </c>
      <c r="H16" s="3" t="s">
        <v>71</v>
      </c>
      <c r="I16" s="3" t="s">
        <v>72</v>
      </c>
    </row>
    <row r="17" customFormat="false" ht="23.85" hidden="false" customHeight="false" outlineLevel="0" collapsed="false">
      <c r="A17" s="5" t="n">
        <v>6</v>
      </c>
      <c r="B17" s="6" t="s">
        <v>9</v>
      </c>
      <c r="C17" s="6" t="s">
        <v>73</v>
      </c>
      <c r="D17" s="6" t="s">
        <v>74</v>
      </c>
      <c r="E17" s="5" t="s">
        <v>12</v>
      </c>
      <c r="F17" s="6" t="s">
        <v>13</v>
      </c>
      <c r="G17" s="7" t="s">
        <v>75</v>
      </c>
      <c r="H17" s="6" t="s">
        <v>76</v>
      </c>
      <c r="I17" s="6" t="s">
        <v>77</v>
      </c>
    </row>
    <row r="18" customFormat="false" ht="46.25" hidden="false" customHeight="false" outlineLevel="0" collapsed="false">
      <c r="A18" s="5" t="n">
        <v>6</v>
      </c>
      <c r="B18" s="6" t="s">
        <v>9</v>
      </c>
      <c r="C18" s="6" t="s">
        <v>73</v>
      </c>
      <c r="D18" s="6" t="s">
        <v>74</v>
      </c>
      <c r="E18" s="5" t="s">
        <v>78</v>
      </c>
      <c r="F18" s="6" t="s">
        <v>79</v>
      </c>
      <c r="G18" s="7" t="s">
        <v>80</v>
      </c>
      <c r="H18" s="6" t="s">
        <v>81</v>
      </c>
      <c r="I18" s="6" t="s">
        <v>82</v>
      </c>
    </row>
    <row r="19" customFormat="false" ht="23.85" hidden="false" customHeight="false" outlineLevel="0" collapsed="false">
      <c r="A19" s="2" t="n">
        <v>7</v>
      </c>
      <c r="B19" s="3" t="s">
        <v>9</v>
      </c>
      <c r="C19" s="3" t="s">
        <v>83</v>
      </c>
      <c r="D19" s="3" t="s">
        <v>84</v>
      </c>
      <c r="E19" s="2" t="s">
        <v>12</v>
      </c>
      <c r="F19" s="3" t="s">
        <v>13</v>
      </c>
      <c r="G19" s="4" t="s">
        <v>85</v>
      </c>
      <c r="H19" s="3" t="s">
        <v>86</v>
      </c>
      <c r="I19" s="3" t="s">
        <v>87</v>
      </c>
    </row>
    <row r="20" customFormat="false" ht="23.85" hidden="false" customHeight="false" outlineLevel="0" collapsed="false">
      <c r="A20" s="2" t="n">
        <v>7</v>
      </c>
      <c r="B20" s="3" t="s">
        <v>9</v>
      </c>
      <c r="C20" s="3" t="s">
        <v>83</v>
      </c>
      <c r="D20" s="3" t="s">
        <v>84</v>
      </c>
      <c r="E20" s="2" t="s">
        <v>78</v>
      </c>
      <c r="F20" s="3" t="s">
        <v>79</v>
      </c>
      <c r="G20" s="4" t="s">
        <v>88</v>
      </c>
      <c r="H20" s="3" t="s">
        <v>89</v>
      </c>
      <c r="I20" s="3" t="s">
        <v>90</v>
      </c>
    </row>
    <row r="21" customFormat="false" ht="23.85" hidden="false" customHeight="false" outlineLevel="0" collapsed="false">
      <c r="A21" s="2" t="n">
        <v>7</v>
      </c>
      <c r="B21" s="3" t="s">
        <v>9</v>
      </c>
      <c r="C21" s="3" t="s">
        <v>83</v>
      </c>
      <c r="D21" s="3" t="s">
        <v>84</v>
      </c>
      <c r="E21" s="2" t="s">
        <v>78</v>
      </c>
      <c r="F21" s="3" t="s">
        <v>79</v>
      </c>
      <c r="G21" s="4" t="s">
        <v>91</v>
      </c>
      <c r="H21" s="3" t="s">
        <v>92</v>
      </c>
      <c r="I21" s="3" t="s">
        <v>93</v>
      </c>
    </row>
    <row r="22" customFormat="false" ht="23.85" hidden="false" customHeight="false" outlineLevel="0" collapsed="false">
      <c r="A22" s="5" t="n">
        <v>8</v>
      </c>
      <c r="B22" s="6" t="s">
        <v>9</v>
      </c>
      <c r="C22" s="6" t="s">
        <v>94</v>
      </c>
      <c r="D22" s="6" t="s">
        <v>95</v>
      </c>
      <c r="E22" s="5" t="s">
        <v>12</v>
      </c>
      <c r="F22" s="6" t="s">
        <v>13</v>
      </c>
      <c r="G22" s="7" t="s">
        <v>42</v>
      </c>
      <c r="H22" s="6" t="s">
        <v>96</v>
      </c>
      <c r="I22" s="6" t="s">
        <v>97</v>
      </c>
    </row>
    <row r="23" customFormat="false" ht="23.85" hidden="false" customHeight="false" outlineLevel="0" collapsed="false">
      <c r="A23" s="5" t="n">
        <v>8</v>
      </c>
      <c r="B23" s="6" t="s">
        <v>9</v>
      </c>
      <c r="C23" s="6" t="s">
        <v>94</v>
      </c>
      <c r="D23" s="6" t="s">
        <v>95</v>
      </c>
      <c r="E23" s="5" t="s">
        <v>32</v>
      </c>
      <c r="F23" s="6" t="s">
        <v>33</v>
      </c>
      <c r="G23" s="7" t="s">
        <v>98</v>
      </c>
      <c r="H23" s="6" t="s">
        <v>99</v>
      </c>
      <c r="I23" s="6" t="s">
        <v>100</v>
      </c>
    </row>
    <row r="24" customFormat="false" ht="23.85" hidden="false" customHeight="false" outlineLevel="0" collapsed="false">
      <c r="A24" s="5" t="n">
        <v>8</v>
      </c>
      <c r="B24" s="6" t="s">
        <v>9</v>
      </c>
      <c r="C24" s="6" t="s">
        <v>94</v>
      </c>
      <c r="D24" s="6" t="s">
        <v>95</v>
      </c>
      <c r="E24" s="5" t="s">
        <v>17</v>
      </c>
      <c r="F24" s="6" t="s">
        <v>18</v>
      </c>
      <c r="G24" s="7" t="s">
        <v>101</v>
      </c>
      <c r="H24" s="6" t="s">
        <v>102</v>
      </c>
      <c r="I24" s="6" t="s">
        <v>103</v>
      </c>
    </row>
    <row r="25" customFormat="false" ht="23.85" hidden="false" customHeight="false" outlineLevel="0" collapsed="false">
      <c r="A25" s="2" t="n">
        <v>9</v>
      </c>
      <c r="B25" s="3" t="s">
        <v>9</v>
      </c>
      <c r="C25" s="3" t="s">
        <v>104</v>
      </c>
      <c r="D25" s="3" t="s">
        <v>105</v>
      </c>
      <c r="E25" s="2" t="s">
        <v>12</v>
      </c>
      <c r="F25" s="3" t="s">
        <v>13</v>
      </c>
      <c r="G25" s="4" t="s">
        <v>106</v>
      </c>
      <c r="H25" s="3" t="s">
        <v>107</v>
      </c>
      <c r="I25" s="3" t="s">
        <v>108</v>
      </c>
    </row>
    <row r="26" customFormat="false" ht="23.85" hidden="false" customHeight="false" outlineLevel="0" collapsed="false">
      <c r="A26" s="2" t="n">
        <v>9</v>
      </c>
      <c r="B26" s="3" t="s">
        <v>9</v>
      </c>
      <c r="C26" s="3" t="s">
        <v>104</v>
      </c>
      <c r="D26" s="3" t="s">
        <v>105</v>
      </c>
      <c r="E26" s="2" t="s">
        <v>32</v>
      </c>
      <c r="F26" s="3" t="s">
        <v>33</v>
      </c>
      <c r="G26" s="4" t="s">
        <v>109</v>
      </c>
      <c r="H26" s="3" t="s">
        <v>110</v>
      </c>
      <c r="I26" s="3" t="s">
        <v>111</v>
      </c>
    </row>
    <row r="27" customFormat="false" ht="23.85" hidden="false" customHeight="false" outlineLevel="0" collapsed="false">
      <c r="A27" s="2" t="n">
        <v>9</v>
      </c>
      <c r="B27" s="3" t="s">
        <v>9</v>
      </c>
      <c r="C27" s="3" t="s">
        <v>104</v>
      </c>
      <c r="D27" s="3" t="s">
        <v>105</v>
      </c>
      <c r="E27" s="2" t="s">
        <v>32</v>
      </c>
      <c r="F27" s="3" t="s">
        <v>33</v>
      </c>
      <c r="G27" s="4" t="s">
        <v>112</v>
      </c>
      <c r="H27" s="3" t="s">
        <v>113</v>
      </c>
      <c r="I27" s="3" t="s">
        <v>114</v>
      </c>
    </row>
    <row r="28" customFormat="false" ht="23.85" hidden="false" customHeight="false" outlineLevel="0" collapsed="false">
      <c r="A28" s="2" t="n">
        <v>9</v>
      </c>
      <c r="B28" s="3" t="s">
        <v>9</v>
      </c>
      <c r="C28" s="3" t="s">
        <v>104</v>
      </c>
      <c r="D28" s="3" t="s">
        <v>105</v>
      </c>
      <c r="E28" s="2" t="s">
        <v>17</v>
      </c>
      <c r="F28" s="3" t="s">
        <v>18</v>
      </c>
      <c r="G28" s="4" t="s">
        <v>115</v>
      </c>
      <c r="H28" s="3" t="s">
        <v>116</v>
      </c>
      <c r="I28" s="3" t="s">
        <v>117</v>
      </c>
    </row>
    <row r="29" customFormat="false" ht="23.85" hidden="false" customHeight="false" outlineLevel="0" collapsed="false">
      <c r="A29" s="5" t="n">
        <v>10</v>
      </c>
      <c r="B29" s="6" t="s">
        <v>9</v>
      </c>
      <c r="C29" s="6" t="s">
        <v>118</v>
      </c>
      <c r="D29" s="6" t="s">
        <v>119</v>
      </c>
      <c r="E29" s="5" t="s">
        <v>32</v>
      </c>
      <c r="F29" s="6" t="s">
        <v>33</v>
      </c>
      <c r="G29" s="7" t="s">
        <v>120</v>
      </c>
      <c r="H29" s="6" t="s">
        <v>121</v>
      </c>
      <c r="I29" s="6" t="s">
        <v>122</v>
      </c>
    </row>
    <row r="30" customFormat="false" ht="23.85" hidden="false" customHeight="false" outlineLevel="0" collapsed="false">
      <c r="A30" s="5" t="n">
        <v>10</v>
      </c>
      <c r="B30" s="6" t="s">
        <v>9</v>
      </c>
      <c r="C30" s="6" t="s">
        <v>118</v>
      </c>
      <c r="D30" s="6" t="s">
        <v>119</v>
      </c>
      <c r="E30" s="5" t="s">
        <v>12</v>
      </c>
      <c r="F30" s="6" t="s">
        <v>13</v>
      </c>
      <c r="G30" s="7" t="s">
        <v>123</v>
      </c>
      <c r="H30" s="6" t="s">
        <v>124</v>
      </c>
      <c r="I30" s="6" t="s">
        <v>125</v>
      </c>
    </row>
    <row r="31" customFormat="false" ht="23.85" hidden="false" customHeight="false" outlineLevel="0" collapsed="false">
      <c r="A31" s="5" t="n">
        <v>10</v>
      </c>
      <c r="B31" s="6" t="s">
        <v>9</v>
      </c>
      <c r="C31" s="6" t="s">
        <v>118</v>
      </c>
      <c r="D31" s="6" t="s">
        <v>119</v>
      </c>
      <c r="E31" s="5" t="s">
        <v>17</v>
      </c>
      <c r="F31" s="6" t="s">
        <v>18</v>
      </c>
      <c r="G31" s="7" t="s">
        <v>126</v>
      </c>
      <c r="H31" s="6" t="s">
        <v>127</v>
      </c>
      <c r="I31" s="6" t="s">
        <v>128</v>
      </c>
    </row>
    <row r="32" customFormat="false" ht="23.85" hidden="false" customHeight="false" outlineLevel="0" collapsed="false">
      <c r="A32" s="2" t="n">
        <v>11</v>
      </c>
      <c r="B32" s="3" t="s">
        <v>129</v>
      </c>
      <c r="C32" s="3" t="s">
        <v>130</v>
      </c>
      <c r="D32" s="3" t="s">
        <v>131</v>
      </c>
      <c r="E32" s="2" t="s">
        <v>132</v>
      </c>
      <c r="F32" s="3" t="s">
        <v>133</v>
      </c>
      <c r="G32" s="4" t="s">
        <v>134</v>
      </c>
      <c r="H32" s="3" t="s">
        <v>135</v>
      </c>
      <c r="I32" s="3" t="s">
        <v>136</v>
      </c>
    </row>
    <row r="33" customFormat="false" ht="23.85" hidden="false" customHeight="false" outlineLevel="0" collapsed="false">
      <c r="A33" s="2" t="n">
        <v>11</v>
      </c>
      <c r="B33" s="3" t="s">
        <v>129</v>
      </c>
      <c r="C33" s="3" t="s">
        <v>130</v>
      </c>
      <c r="D33" s="3" t="s">
        <v>131</v>
      </c>
      <c r="E33" s="2" t="s">
        <v>132</v>
      </c>
      <c r="F33" s="3" t="s">
        <v>133</v>
      </c>
      <c r="G33" s="4" t="s">
        <v>137</v>
      </c>
      <c r="H33" s="3" t="s">
        <v>138</v>
      </c>
      <c r="I33" s="3" t="s">
        <v>139</v>
      </c>
    </row>
    <row r="34" customFormat="false" ht="23.85" hidden="false" customHeight="false" outlineLevel="0" collapsed="false">
      <c r="A34" s="2" t="n">
        <v>11</v>
      </c>
      <c r="B34" s="3" t="s">
        <v>129</v>
      </c>
      <c r="C34" s="3" t="s">
        <v>130</v>
      </c>
      <c r="D34" s="3" t="s">
        <v>131</v>
      </c>
      <c r="E34" s="2" t="s">
        <v>12</v>
      </c>
      <c r="F34" s="3" t="s">
        <v>13</v>
      </c>
      <c r="G34" s="4" t="s">
        <v>140</v>
      </c>
      <c r="H34" s="3" t="s">
        <v>141</v>
      </c>
      <c r="I34" s="3" t="s">
        <v>142</v>
      </c>
    </row>
    <row r="35" customFormat="false" ht="23.85" hidden="false" customHeight="false" outlineLevel="0" collapsed="false">
      <c r="A35" s="2" t="n">
        <v>11</v>
      </c>
      <c r="B35" s="3" t="s">
        <v>129</v>
      </c>
      <c r="C35" s="3" t="s">
        <v>130</v>
      </c>
      <c r="D35" s="3" t="s">
        <v>131</v>
      </c>
      <c r="E35" s="2" t="s">
        <v>17</v>
      </c>
      <c r="F35" s="3" t="s">
        <v>18</v>
      </c>
      <c r="G35" s="4" t="s">
        <v>143</v>
      </c>
      <c r="H35" s="3" t="s">
        <v>144</v>
      </c>
      <c r="I35" s="3" t="s">
        <v>145</v>
      </c>
    </row>
    <row r="36" customFormat="false" ht="23.85" hidden="false" customHeight="false" outlineLevel="0" collapsed="false">
      <c r="A36" s="5" t="n">
        <v>12</v>
      </c>
      <c r="B36" s="6" t="s">
        <v>129</v>
      </c>
      <c r="C36" s="6" t="s">
        <v>146</v>
      </c>
      <c r="D36" s="6" t="s">
        <v>147</v>
      </c>
      <c r="E36" s="5" t="s">
        <v>32</v>
      </c>
      <c r="F36" s="6" t="s">
        <v>33</v>
      </c>
      <c r="G36" s="7" t="s">
        <v>42</v>
      </c>
      <c r="H36" s="6" t="s">
        <v>148</v>
      </c>
      <c r="I36" s="6" t="s">
        <v>149</v>
      </c>
    </row>
    <row r="37" customFormat="false" ht="23.85" hidden="false" customHeight="false" outlineLevel="0" collapsed="false">
      <c r="A37" s="5" t="n">
        <v>12</v>
      </c>
      <c r="B37" s="6" t="s">
        <v>129</v>
      </c>
      <c r="C37" s="6" t="s">
        <v>146</v>
      </c>
      <c r="D37" s="6" t="s">
        <v>147</v>
      </c>
      <c r="E37" s="5" t="s">
        <v>132</v>
      </c>
      <c r="F37" s="6" t="s">
        <v>133</v>
      </c>
      <c r="G37" s="7" t="s">
        <v>150</v>
      </c>
      <c r="H37" s="6" t="s">
        <v>151</v>
      </c>
      <c r="I37" s="6" t="s">
        <v>152</v>
      </c>
    </row>
    <row r="38" customFormat="false" ht="23.85" hidden="false" customHeight="false" outlineLevel="0" collapsed="false">
      <c r="A38" s="5" t="n">
        <v>12</v>
      </c>
      <c r="B38" s="6" t="s">
        <v>129</v>
      </c>
      <c r="C38" s="6" t="s">
        <v>146</v>
      </c>
      <c r="D38" s="6" t="s">
        <v>147</v>
      </c>
      <c r="E38" s="5" t="s">
        <v>12</v>
      </c>
      <c r="F38" s="6" t="s">
        <v>13</v>
      </c>
      <c r="G38" s="7" t="s">
        <v>153</v>
      </c>
      <c r="H38" s="6" t="s">
        <v>154</v>
      </c>
      <c r="I38" s="6" t="s">
        <v>155</v>
      </c>
    </row>
    <row r="39" customFormat="false" ht="23.85" hidden="false" customHeight="false" outlineLevel="0" collapsed="false">
      <c r="A39" s="5" t="n">
        <v>12</v>
      </c>
      <c r="B39" s="6" t="s">
        <v>129</v>
      </c>
      <c r="C39" s="6" t="s">
        <v>146</v>
      </c>
      <c r="D39" s="6" t="s">
        <v>147</v>
      </c>
      <c r="E39" s="5" t="s">
        <v>17</v>
      </c>
      <c r="F39" s="6" t="s">
        <v>18</v>
      </c>
      <c r="G39" s="7" t="s">
        <v>48</v>
      </c>
      <c r="H39" s="6" t="s">
        <v>156</v>
      </c>
      <c r="I39" s="6" t="s">
        <v>157</v>
      </c>
    </row>
    <row r="40" customFormat="false" ht="23.85" hidden="false" customHeight="false" outlineLevel="0" collapsed="false">
      <c r="A40" s="2" t="n">
        <v>13</v>
      </c>
      <c r="B40" s="3" t="s">
        <v>129</v>
      </c>
      <c r="C40" s="3" t="s">
        <v>158</v>
      </c>
      <c r="D40" s="3" t="s">
        <v>159</v>
      </c>
      <c r="E40" s="2" t="s">
        <v>132</v>
      </c>
      <c r="F40" s="3" t="s">
        <v>133</v>
      </c>
      <c r="G40" s="4" t="s">
        <v>160</v>
      </c>
      <c r="H40" s="3" t="s">
        <v>161</v>
      </c>
      <c r="I40" s="3" t="s">
        <v>162</v>
      </c>
    </row>
    <row r="41" customFormat="false" ht="23.85" hidden="false" customHeight="false" outlineLevel="0" collapsed="false">
      <c r="A41" s="2" t="n">
        <v>13</v>
      </c>
      <c r="B41" s="3" t="s">
        <v>129</v>
      </c>
      <c r="C41" s="3" t="s">
        <v>158</v>
      </c>
      <c r="D41" s="3" t="s">
        <v>159</v>
      </c>
      <c r="E41" s="2" t="s">
        <v>12</v>
      </c>
      <c r="F41" s="3" t="s">
        <v>13</v>
      </c>
      <c r="G41" s="4" t="s">
        <v>163</v>
      </c>
      <c r="H41" s="3" t="s">
        <v>164</v>
      </c>
      <c r="I41" s="3" t="s">
        <v>165</v>
      </c>
    </row>
    <row r="42" customFormat="false" ht="23.85" hidden="false" customHeight="false" outlineLevel="0" collapsed="false">
      <c r="A42" s="2" t="n">
        <v>13</v>
      </c>
      <c r="B42" s="3" t="s">
        <v>129</v>
      </c>
      <c r="C42" s="3" t="s">
        <v>158</v>
      </c>
      <c r="D42" s="3" t="s">
        <v>159</v>
      </c>
      <c r="E42" s="2" t="s">
        <v>17</v>
      </c>
      <c r="F42" s="3" t="s">
        <v>18</v>
      </c>
      <c r="G42" s="4" t="s">
        <v>166</v>
      </c>
      <c r="H42" s="3" t="s">
        <v>167</v>
      </c>
      <c r="I42" s="3" t="s">
        <v>168</v>
      </c>
    </row>
    <row r="43" customFormat="false" ht="23.85" hidden="false" customHeight="false" outlineLevel="0" collapsed="false">
      <c r="A43" s="5" t="n">
        <v>14</v>
      </c>
      <c r="B43" s="6" t="s">
        <v>129</v>
      </c>
      <c r="C43" s="6" t="s">
        <v>169</v>
      </c>
      <c r="D43" s="6" t="s">
        <v>170</v>
      </c>
      <c r="E43" s="5" t="s">
        <v>32</v>
      </c>
      <c r="F43" s="6" t="s">
        <v>33</v>
      </c>
      <c r="G43" s="7" t="s">
        <v>123</v>
      </c>
      <c r="H43" s="6" t="s">
        <v>171</v>
      </c>
      <c r="I43" s="6" t="s">
        <v>172</v>
      </c>
    </row>
    <row r="44" customFormat="false" ht="23.85" hidden="false" customHeight="false" outlineLevel="0" collapsed="false">
      <c r="A44" s="5" t="n">
        <v>14</v>
      </c>
      <c r="B44" s="6" t="s">
        <v>129</v>
      </c>
      <c r="C44" s="6" t="s">
        <v>169</v>
      </c>
      <c r="D44" s="6" t="s">
        <v>170</v>
      </c>
      <c r="E44" s="5" t="s">
        <v>132</v>
      </c>
      <c r="F44" s="6" t="s">
        <v>133</v>
      </c>
      <c r="G44" s="7" t="s">
        <v>173</v>
      </c>
      <c r="H44" s="6" t="s">
        <v>174</v>
      </c>
      <c r="I44" s="6" t="s">
        <v>175</v>
      </c>
    </row>
    <row r="45" customFormat="false" ht="23.85" hidden="false" customHeight="false" outlineLevel="0" collapsed="false">
      <c r="A45" s="5" t="n">
        <v>14</v>
      </c>
      <c r="B45" s="6" t="s">
        <v>129</v>
      </c>
      <c r="C45" s="6" t="s">
        <v>169</v>
      </c>
      <c r="D45" s="6" t="s">
        <v>170</v>
      </c>
      <c r="E45" s="5" t="s">
        <v>12</v>
      </c>
      <c r="F45" s="6" t="s">
        <v>13</v>
      </c>
      <c r="G45" s="7" t="s">
        <v>176</v>
      </c>
      <c r="H45" s="6" t="s">
        <v>177</v>
      </c>
      <c r="I45" s="6" t="s">
        <v>178</v>
      </c>
    </row>
    <row r="46" customFormat="false" ht="23.85" hidden="false" customHeight="false" outlineLevel="0" collapsed="false">
      <c r="A46" s="2" t="n">
        <v>15</v>
      </c>
      <c r="B46" s="3" t="s">
        <v>129</v>
      </c>
      <c r="C46" s="3" t="s">
        <v>179</v>
      </c>
      <c r="D46" s="3" t="s">
        <v>180</v>
      </c>
      <c r="E46" s="2" t="s">
        <v>132</v>
      </c>
      <c r="F46" s="3" t="s">
        <v>133</v>
      </c>
      <c r="G46" s="4" t="s">
        <v>181</v>
      </c>
      <c r="H46" s="3" t="s">
        <v>182</v>
      </c>
      <c r="I46" s="3" t="s">
        <v>183</v>
      </c>
    </row>
    <row r="47" customFormat="false" ht="23.85" hidden="false" customHeight="false" outlineLevel="0" collapsed="false">
      <c r="A47" s="2" t="n">
        <v>15</v>
      </c>
      <c r="B47" s="3" t="s">
        <v>129</v>
      </c>
      <c r="C47" s="3" t="s">
        <v>179</v>
      </c>
      <c r="D47" s="3" t="s">
        <v>180</v>
      </c>
      <c r="E47" s="2" t="s">
        <v>22</v>
      </c>
      <c r="F47" s="3" t="s">
        <v>23</v>
      </c>
      <c r="G47" s="4" t="s">
        <v>109</v>
      </c>
      <c r="H47" s="3" t="s">
        <v>184</v>
      </c>
      <c r="I47" s="3" t="s">
        <v>185</v>
      </c>
    </row>
    <row r="48" customFormat="false" ht="23.85" hidden="false" customHeight="false" outlineLevel="0" collapsed="false">
      <c r="A48" s="2" t="n">
        <v>15</v>
      </c>
      <c r="B48" s="3" t="s">
        <v>129</v>
      </c>
      <c r="C48" s="3" t="s">
        <v>179</v>
      </c>
      <c r="D48" s="3" t="s">
        <v>180</v>
      </c>
      <c r="E48" s="2" t="s">
        <v>22</v>
      </c>
      <c r="F48" s="3" t="s">
        <v>23</v>
      </c>
      <c r="G48" s="4" t="s">
        <v>123</v>
      </c>
      <c r="H48" s="3" t="s">
        <v>186</v>
      </c>
      <c r="I48" s="3" t="s">
        <v>187</v>
      </c>
    </row>
    <row r="49" customFormat="false" ht="23.85" hidden="false" customHeight="false" outlineLevel="0" collapsed="false">
      <c r="A49" s="5" t="n">
        <v>16</v>
      </c>
      <c r="B49" s="6" t="s">
        <v>129</v>
      </c>
      <c r="C49" s="6" t="s">
        <v>188</v>
      </c>
      <c r="D49" s="6" t="s">
        <v>189</v>
      </c>
      <c r="E49" s="5" t="s">
        <v>32</v>
      </c>
      <c r="F49" s="6" t="s">
        <v>33</v>
      </c>
      <c r="G49" s="7" t="s">
        <v>56</v>
      </c>
      <c r="H49" s="6" t="s">
        <v>190</v>
      </c>
      <c r="I49" s="6" t="s">
        <v>191</v>
      </c>
    </row>
    <row r="50" customFormat="false" ht="23.85" hidden="false" customHeight="false" outlineLevel="0" collapsed="false">
      <c r="A50" s="5" t="n">
        <v>16</v>
      </c>
      <c r="B50" s="6" t="s">
        <v>129</v>
      </c>
      <c r="C50" s="6" t="s">
        <v>188</v>
      </c>
      <c r="D50" s="6" t="s">
        <v>189</v>
      </c>
      <c r="E50" s="5" t="s">
        <v>132</v>
      </c>
      <c r="F50" s="6" t="s">
        <v>133</v>
      </c>
      <c r="G50" s="7" t="s">
        <v>192</v>
      </c>
      <c r="H50" s="6" t="s">
        <v>193</v>
      </c>
      <c r="I50" s="6" t="s">
        <v>194</v>
      </c>
    </row>
    <row r="51" customFormat="false" ht="23.85" hidden="false" customHeight="false" outlineLevel="0" collapsed="false">
      <c r="A51" s="5" t="n">
        <v>16</v>
      </c>
      <c r="B51" s="6" t="s">
        <v>129</v>
      </c>
      <c r="C51" s="6" t="s">
        <v>188</v>
      </c>
      <c r="D51" s="6" t="s">
        <v>189</v>
      </c>
      <c r="E51" s="5" t="s">
        <v>12</v>
      </c>
      <c r="F51" s="6" t="s">
        <v>13</v>
      </c>
      <c r="G51" s="7" t="s">
        <v>195</v>
      </c>
      <c r="H51" s="6" t="s">
        <v>196</v>
      </c>
      <c r="I51" s="6" t="s">
        <v>197</v>
      </c>
    </row>
    <row r="52" customFormat="false" ht="23.85" hidden="false" customHeight="false" outlineLevel="0" collapsed="false">
      <c r="A52" s="5" t="n">
        <v>16</v>
      </c>
      <c r="B52" s="6" t="s">
        <v>129</v>
      </c>
      <c r="C52" s="6" t="s">
        <v>188</v>
      </c>
      <c r="D52" s="6" t="s">
        <v>189</v>
      </c>
      <c r="E52" s="5" t="s">
        <v>17</v>
      </c>
      <c r="F52" s="6" t="s">
        <v>18</v>
      </c>
      <c r="G52" s="7" t="s">
        <v>143</v>
      </c>
      <c r="H52" s="6" t="s">
        <v>198</v>
      </c>
      <c r="I52" s="6" t="s">
        <v>199</v>
      </c>
    </row>
    <row r="53" customFormat="false" ht="23.85" hidden="false" customHeight="false" outlineLevel="0" collapsed="false">
      <c r="A53" s="2" t="n">
        <v>17</v>
      </c>
      <c r="B53" s="3" t="s">
        <v>129</v>
      </c>
      <c r="C53" s="3" t="s">
        <v>200</v>
      </c>
      <c r="D53" s="3" t="s">
        <v>201</v>
      </c>
      <c r="E53" s="2" t="s">
        <v>132</v>
      </c>
      <c r="F53" s="3" t="s">
        <v>133</v>
      </c>
      <c r="G53" s="4" t="s">
        <v>202</v>
      </c>
      <c r="H53" s="3" t="s">
        <v>203</v>
      </c>
      <c r="I53" s="3" t="s">
        <v>204</v>
      </c>
    </row>
    <row r="54" customFormat="false" ht="23.85" hidden="false" customHeight="false" outlineLevel="0" collapsed="false">
      <c r="A54" s="2" t="n">
        <v>17</v>
      </c>
      <c r="B54" s="3" t="s">
        <v>129</v>
      </c>
      <c r="C54" s="3" t="s">
        <v>200</v>
      </c>
      <c r="D54" s="3" t="s">
        <v>201</v>
      </c>
      <c r="E54" s="2" t="s">
        <v>78</v>
      </c>
      <c r="F54" s="3" t="s">
        <v>79</v>
      </c>
      <c r="G54" s="4" t="s">
        <v>205</v>
      </c>
      <c r="H54" s="3" t="s">
        <v>206</v>
      </c>
      <c r="I54" s="3" t="s">
        <v>207</v>
      </c>
    </row>
    <row r="55" customFormat="false" ht="23.85" hidden="false" customHeight="false" outlineLevel="0" collapsed="false">
      <c r="A55" s="2" t="n">
        <v>17</v>
      </c>
      <c r="B55" s="3" t="s">
        <v>129</v>
      </c>
      <c r="C55" s="3" t="s">
        <v>200</v>
      </c>
      <c r="D55" s="3" t="s">
        <v>201</v>
      </c>
      <c r="E55" s="2" t="s">
        <v>12</v>
      </c>
      <c r="F55" s="3" t="s">
        <v>13</v>
      </c>
      <c r="G55" s="4" t="s">
        <v>208</v>
      </c>
      <c r="H55" s="3" t="s">
        <v>209</v>
      </c>
      <c r="I55" s="3" t="s">
        <v>210</v>
      </c>
    </row>
    <row r="56" customFormat="false" ht="23.85" hidden="false" customHeight="false" outlineLevel="0" collapsed="false">
      <c r="A56" s="5" t="n">
        <v>18</v>
      </c>
      <c r="B56" s="6" t="s">
        <v>129</v>
      </c>
      <c r="C56" s="6" t="s">
        <v>211</v>
      </c>
      <c r="D56" s="6" t="s">
        <v>212</v>
      </c>
      <c r="E56" s="5" t="s">
        <v>132</v>
      </c>
      <c r="F56" s="6" t="s">
        <v>133</v>
      </c>
      <c r="G56" s="7" t="s">
        <v>213</v>
      </c>
      <c r="H56" s="6" t="s">
        <v>214</v>
      </c>
      <c r="I56" s="6" t="s">
        <v>215</v>
      </c>
    </row>
    <row r="57" customFormat="false" ht="23.85" hidden="false" customHeight="false" outlineLevel="0" collapsed="false">
      <c r="A57" s="5" t="n">
        <v>18</v>
      </c>
      <c r="B57" s="6" t="s">
        <v>129</v>
      </c>
      <c r="C57" s="6" t="s">
        <v>211</v>
      </c>
      <c r="D57" s="6" t="s">
        <v>212</v>
      </c>
      <c r="E57" s="5" t="s">
        <v>78</v>
      </c>
      <c r="F57" s="6" t="s">
        <v>79</v>
      </c>
      <c r="G57" s="7" t="s">
        <v>216</v>
      </c>
      <c r="H57" s="6" t="s">
        <v>217</v>
      </c>
      <c r="I57" s="6" t="s">
        <v>218</v>
      </c>
    </row>
    <row r="58" customFormat="false" ht="23.85" hidden="false" customHeight="false" outlineLevel="0" collapsed="false">
      <c r="A58" s="5" t="n">
        <v>18</v>
      </c>
      <c r="B58" s="6" t="s">
        <v>129</v>
      </c>
      <c r="C58" s="6" t="s">
        <v>211</v>
      </c>
      <c r="D58" s="6" t="s">
        <v>212</v>
      </c>
      <c r="E58" s="5" t="s">
        <v>132</v>
      </c>
      <c r="F58" s="6" t="s">
        <v>133</v>
      </c>
      <c r="G58" s="7" t="s">
        <v>219</v>
      </c>
      <c r="H58" s="6" t="s">
        <v>220</v>
      </c>
      <c r="I58" s="6" t="s">
        <v>221</v>
      </c>
    </row>
    <row r="59" customFormat="false" ht="23.85" hidden="false" customHeight="false" outlineLevel="0" collapsed="false">
      <c r="A59" s="5" t="n">
        <v>18</v>
      </c>
      <c r="B59" s="6" t="s">
        <v>129</v>
      </c>
      <c r="C59" s="6" t="s">
        <v>211</v>
      </c>
      <c r="D59" s="6" t="s">
        <v>212</v>
      </c>
      <c r="E59" s="5" t="s">
        <v>12</v>
      </c>
      <c r="F59" s="6" t="s">
        <v>13</v>
      </c>
      <c r="G59" s="7" t="s">
        <v>222</v>
      </c>
      <c r="H59" s="6" t="s">
        <v>223</v>
      </c>
      <c r="I59" s="6" t="s">
        <v>224</v>
      </c>
    </row>
    <row r="60" customFormat="false" ht="35.05" hidden="false" customHeight="false" outlineLevel="0" collapsed="false">
      <c r="A60" s="2" t="n">
        <v>19</v>
      </c>
      <c r="B60" s="3" t="s">
        <v>129</v>
      </c>
      <c r="C60" s="3" t="s">
        <v>225</v>
      </c>
      <c r="D60" s="3" t="s">
        <v>226</v>
      </c>
      <c r="E60" s="2" t="s">
        <v>32</v>
      </c>
      <c r="F60" s="3" t="s">
        <v>33</v>
      </c>
      <c r="G60" s="4" t="s">
        <v>227</v>
      </c>
      <c r="H60" s="3" t="s">
        <v>228</v>
      </c>
      <c r="I60" s="3" t="s">
        <v>229</v>
      </c>
    </row>
    <row r="61" customFormat="false" ht="35.05" hidden="false" customHeight="false" outlineLevel="0" collapsed="false">
      <c r="A61" s="2" t="n">
        <v>19</v>
      </c>
      <c r="B61" s="3" t="s">
        <v>129</v>
      </c>
      <c r="C61" s="3" t="s">
        <v>225</v>
      </c>
      <c r="D61" s="3" t="s">
        <v>226</v>
      </c>
      <c r="E61" s="2" t="s">
        <v>132</v>
      </c>
      <c r="F61" s="3" t="s">
        <v>133</v>
      </c>
      <c r="G61" s="4" t="s">
        <v>230</v>
      </c>
      <c r="H61" s="3" t="s">
        <v>231</v>
      </c>
      <c r="I61" s="3" t="s">
        <v>232</v>
      </c>
    </row>
    <row r="62" customFormat="false" ht="23.85" hidden="false" customHeight="false" outlineLevel="0" collapsed="false">
      <c r="A62" s="2" t="n">
        <v>19</v>
      </c>
      <c r="B62" s="3" t="s">
        <v>129</v>
      </c>
      <c r="C62" s="3" t="s">
        <v>225</v>
      </c>
      <c r="D62" s="3" t="s">
        <v>226</v>
      </c>
      <c r="E62" s="2" t="s">
        <v>22</v>
      </c>
      <c r="F62" s="3" t="s">
        <v>23</v>
      </c>
      <c r="G62" s="4" t="s">
        <v>29</v>
      </c>
      <c r="H62" s="3" t="s">
        <v>233</v>
      </c>
      <c r="I62" s="3" t="s">
        <v>234</v>
      </c>
    </row>
    <row r="63" customFormat="false" ht="23.85" hidden="false" customHeight="false" outlineLevel="0" collapsed="false">
      <c r="A63" s="2" t="n">
        <v>19</v>
      </c>
      <c r="B63" s="3" t="s">
        <v>129</v>
      </c>
      <c r="C63" s="3" t="s">
        <v>225</v>
      </c>
      <c r="D63" s="3" t="s">
        <v>226</v>
      </c>
      <c r="E63" s="2" t="s">
        <v>22</v>
      </c>
      <c r="F63" s="3" t="s">
        <v>23</v>
      </c>
      <c r="G63" s="4" t="s">
        <v>235</v>
      </c>
      <c r="H63" s="3" t="s">
        <v>236</v>
      </c>
      <c r="I63" s="3" t="s">
        <v>237</v>
      </c>
    </row>
    <row r="64" customFormat="false" ht="23.85" hidden="false" customHeight="false" outlineLevel="0" collapsed="false">
      <c r="A64" s="5" t="n">
        <v>20</v>
      </c>
      <c r="B64" s="6" t="s">
        <v>129</v>
      </c>
      <c r="C64" s="6" t="s">
        <v>238</v>
      </c>
      <c r="D64" s="6" t="s">
        <v>239</v>
      </c>
      <c r="E64" s="5" t="s">
        <v>32</v>
      </c>
      <c r="F64" s="6" t="s">
        <v>33</v>
      </c>
      <c r="G64" s="7" t="s">
        <v>34</v>
      </c>
      <c r="H64" s="6" t="s">
        <v>240</v>
      </c>
      <c r="I64" s="6" t="s">
        <v>241</v>
      </c>
    </row>
    <row r="65" customFormat="false" ht="23.85" hidden="false" customHeight="false" outlineLevel="0" collapsed="false">
      <c r="A65" s="5" t="n">
        <v>20</v>
      </c>
      <c r="B65" s="6" t="s">
        <v>129</v>
      </c>
      <c r="C65" s="6" t="s">
        <v>238</v>
      </c>
      <c r="D65" s="6" t="s">
        <v>239</v>
      </c>
      <c r="E65" s="5" t="s">
        <v>132</v>
      </c>
      <c r="F65" s="6" t="s">
        <v>133</v>
      </c>
      <c r="G65" s="7" t="s">
        <v>242</v>
      </c>
      <c r="H65" s="6" t="s">
        <v>243</v>
      </c>
      <c r="I65" s="6" t="s">
        <v>244</v>
      </c>
    </row>
    <row r="66" customFormat="false" ht="23.85" hidden="false" customHeight="false" outlineLevel="0" collapsed="false">
      <c r="A66" s="5" t="n">
        <v>20</v>
      </c>
      <c r="B66" s="6" t="s">
        <v>129</v>
      </c>
      <c r="C66" s="6" t="s">
        <v>238</v>
      </c>
      <c r="D66" s="6" t="s">
        <v>239</v>
      </c>
      <c r="E66" s="5" t="s">
        <v>132</v>
      </c>
      <c r="F66" s="6" t="s">
        <v>133</v>
      </c>
      <c r="G66" s="7" t="s">
        <v>245</v>
      </c>
      <c r="H66" s="6" t="s">
        <v>246</v>
      </c>
      <c r="I66" s="6" t="s">
        <v>247</v>
      </c>
    </row>
    <row r="67" customFormat="false" ht="23.85" hidden="false" customHeight="false" outlineLevel="0" collapsed="false">
      <c r="A67" s="5" t="n">
        <v>20</v>
      </c>
      <c r="B67" s="6" t="s">
        <v>129</v>
      </c>
      <c r="C67" s="6" t="s">
        <v>238</v>
      </c>
      <c r="D67" s="6" t="s">
        <v>239</v>
      </c>
      <c r="E67" s="5" t="s">
        <v>17</v>
      </c>
      <c r="F67" s="6" t="s">
        <v>18</v>
      </c>
      <c r="G67" s="7" t="s">
        <v>248</v>
      </c>
      <c r="H67" s="6" t="s">
        <v>249</v>
      </c>
      <c r="I67" s="6" t="s">
        <v>250</v>
      </c>
    </row>
    <row r="68" customFormat="false" ht="23.85" hidden="false" customHeight="false" outlineLevel="0" collapsed="false">
      <c r="A68" s="2" t="n">
        <v>21</v>
      </c>
      <c r="B68" s="3" t="s">
        <v>251</v>
      </c>
      <c r="C68" s="3" t="s">
        <v>252</v>
      </c>
      <c r="D68" s="3" t="s">
        <v>253</v>
      </c>
      <c r="E68" s="2" t="s">
        <v>22</v>
      </c>
      <c r="F68" s="3" t="s">
        <v>23</v>
      </c>
      <c r="G68" s="4" t="s">
        <v>254</v>
      </c>
      <c r="H68" s="3" t="s">
        <v>255</v>
      </c>
      <c r="I68" s="3" t="s">
        <v>256</v>
      </c>
    </row>
    <row r="69" customFormat="false" ht="23.85" hidden="false" customHeight="false" outlineLevel="0" collapsed="false">
      <c r="A69" s="2" t="n">
        <v>21</v>
      </c>
      <c r="B69" s="3" t="s">
        <v>251</v>
      </c>
      <c r="C69" s="3" t="s">
        <v>252</v>
      </c>
      <c r="D69" s="3" t="s">
        <v>253</v>
      </c>
      <c r="E69" s="2" t="s">
        <v>12</v>
      </c>
      <c r="F69" s="3" t="s">
        <v>13</v>
      </c>
      <c r="G69" s="4" t="s">
        <v>257</v>
      </c>
      <c r="H69" s="3" t="s">
        <v>258</v>
      </c>
      <c r="I69" s="3" t="s">
        <v>259</v>
      </c>
    </row>
    <row r="70" customFormat="false" ht="23.85" hidden="false" customHeight="false" outlineLevel="0" collapsed="false">
      <c r="A70" s="2" t="n">
        <v>21</v>
      </c>
      <c r="B70" s="3" t="s">
        <v>251</v>
      </c>
      <c r="C70" s="3" t="s">
        <v>252</v>
      </c>
      <c r="D70" s="3" t="s">
        <v>253</v>
      </c>
      <c r="E70" s="2" t="s">
        <v>260</v>
      </c>
      <c r="F70" s="3" t="s">
        <v>261</v>
      </c>
      <c r="G70" s="4" t="s">
        <v>262</v>
      </c>
      <c r="H70" s="3" t="s">
        <v>263</v>
      </c>
      <c r="I70" s="3" t="s">
        <v>264</v>
      </c>
    </row>
    <row r="71" customFormat="false" ht="23.85" hidden="false" customHeight="false" outlineLevel="0" collapsed="false">
      <c r="A71" s="2" t="n">
        <v>21</v>
      </c>
      <c r="B71" s="3" t="s">
        <v>251</v>
      </c>
      <c r="C71" s="3" t="s">
        <v>252</v>
      </c>
      <c r="D71" s="3" t="s">
        <v>253</v>
      </c>
      <c r="E71" s="2" t="s">
        <v>17</v>
      </c>
      <c r="F71" s="3" t="s">
        <v>18</v>
      </c>
      <c r="G71" s="4" t="s">
        <v>265</v>
      </c>
      <c r="H71" s="3" t="s">
        <v>266</v>
      </c>
      <c r="I71" s="3" t="s">
        <v>267</v>
      </c>
    </row>
    <row r="72" customFormat="false" ht="23.85" hidden="false" customHeight="false" outlineLevel="0" collapsed="false">
      <c r="A72" s="5" t="n">
        <v>22</v>
      </c>
      <c r="B72" s="6" t="s">
        <v>251</v>
      </c>
      <c r="C72" s="6" t="s">
        <v>268</v>
      </c>
      <c r="D72" s="6" t="s">
        <v>201</v>
      </c>
      <c r="E72" s="5" t="s">
        <v>22</v>
      </c>
      <c r="F72" s="6" t="s">
        <v>23</v>
      </c>
      <c r="G72" s="7" t="s">
        <v>269</v>
      </c>
      <c r="H72" s="6" t="s">
        <v>270</v>
      </c>
      <c r="I72" s="6" t="s">
        <v>271</v>
      </c>
    </row>
    <row r="73" customFormat="false" ht="23.85" hidden="false" customHeight="false" outlineLevel="0" collapsed="false">
      <c r="A73" s="5" t="n">
        <v>22</v>
      </c>
      <c r="B73" s="6" t="s">
        <v>251</v>
      </c>
      <c r="C73" s="6" t="s">
        <v>268</v>
      </c>
      <c r="D73" s="6" t="s">
        <v>201</v>
      </c>
      <c r="E73" s="5" t="s">
        <v>12</v>
      </c>
      <c r="F73" s="6" t="s">
        <v>13</v>
      </c>
      <c r="G73" s="7" t="s">
        <v>272</v>
      </c>
      <c r="H73" s="6" t="s">
        <v>273</v>
      </c>
      <c r="I73" s="6" t="s">
        <v>274</v>
      </c>
    </row>
    <row r="74" customFormat="false" ht="23.85" hidden="false" customHeight="false" outlineLevel="0" collapsed="false">
      <c r="A74" s="5" t="n">
        <v>22</v>
      </c>
      <c r="B74" s="6" t="s">
        <v>251</v>
      </c>
      <c r="C74" s="6" t="s">
        <v>268</v>
      </c>
      <c r="D74" s="6" t="s">
        <v>201</v>
      </c>
      <c r="E74" s="5" t="s">
        <v>260</v>
      </c>
      <c r="F74" s="6" t="s">
        <v>261</v>
      </c>
      <c r="G74" s="7" t="s">
        <v>275</v>
      </c>
      <c r="H74" s="6" t="s">
        <v>276</v>
      </c>
      <c r="I74" s="6" t="s">
        <v>277</v>
      </c>
    </row>
    <row r="75" customFormat="false" ht="23.85" hidden="false" customHeight="false" outlineLevel="0" collapsed="false">
      <c r="A75" s="5" t="n">
        <v>22</v>
      </c>
      <c r="B75" s="6" t="s">
        <v>251</v>
      </c>
      <c r="C75" s="6" t="s">
        <v>268</v>
      </c>
      <c r="D75" s="6" t="s">
        <v>201</v>
      </c>
      <c r="E75" s="5" t="s">
        <v>17</v>
      </c>
      <c r="F75" s="6" t="s">
        <v>18</v>
      </c>
      <c r="G75" s="7" t="s">
        <v>143</v>
      </c>
      <c r="H75" s="6" t="s">
        <v>278</v>
      </c>
      <c r="I75" s="6" t="s">
        <v>279</v>
      </c>
    </row>
    <row r="76" customFormat="false" ht="23.85" hidden="false" customHeight="false" outlineLevel="0" collapsed="false">
      <c r="A76" s="2" t="n">
        <v>23</v>
      </c>
      <c r="B76" s="3" t="s">
        <v>251</v>
      </c>
      <c r="C76" s="3" t="s">
        <v>280</v>
      </c>
      <c r="D76" s="3" t="s">
        <v>281</v>
      </c>
      <c r="E76" s="2" t="s">
        <v>22</v>
      </c>
      <c r="F76" s="3" t="s">
        <v>23</v>
      </c>
      <c r="G76" s="4" t="s">
        <v>282</v>
      </c>
      <c r="H76" s="3" t="s">
        <v>283</v>
      </c>
      <c r="I76" s="3" t="s">
        <v>284</v>
      </c>
    </row>
    <row r="77" customFormat="false" ht="23.85" hidden="false" customHeight="false" outlineLevel="0" collapsed="false">
      <c r="A77" s="2" t="n">
        <v>23</v>
      </c>
      <c r="B77" s="3" t="s">
        <v>251</v>
      </c>
      <c r="C77" s="3" t="s">
        <v>280</v>
      </c>
      <c r="D77" s="3" t="s">
        <v>281</v>
      </c>
      <c r="E77" s="2" t="s">
        <v>32</v>
      </c>
      <c r="F77" s="3" t="s">
        <v>33</v>
      </c>
      <c r="G77" s="4" t="s">
        <v>285</v>
      </c>
      <c r="H77" s="3" t="s">
        <v>286</v>
      </c>
      <c r="I77" s="3" t="s">
        <v>287</v>
      </c>
    </row>
    <row r="78" customFormat="false" ht="23.85" hidden="false" customHeight="false" outlineLevel="0" collapsed="false">
      <c r="A78" s="2" t="n">
        <v>23</v>
      </c>
      <c r="B78" s="3" t="s">
        <v>251</v>
      </c>
      <c r="C78" s="3" t="s">
        <v>280</v>
      </c>
      <c r="D78" s="3" t="s">
        <v>281</v>
      </c>
      <c r="E78" s="2" t="s">
        <v>12</v>
      </c>
      <c r="F78" s="3" t="s">
        <v>13</v>
      </c>
      <c r="G78" s="4" t="s">
        <v>288</v>
      </c>
      <c r="H78" s="3" t="s">
        <v>289</v>
      </c>
      <c r="I78" s="3" t="s">
        <v>290</v>
      </c>
    </row>
    <row r="79" customFormat="false" ht="23.85" hidden="false" customHeight="false" outlineLevel="0" collapsed="false">
      <c r="A79" s="2" t="n">
        <v>23</v>
      </c>
      <c r="B79" s="3" t="s">
        <v>251</v>
      </c>
      <c r="C79" s="3" t="s">
        <v>280</v>
      </c>
      <c r="D79" s="3" t="s">
        <v>281</v>
      </c>
      <c r="E79" s="2" t="s">
        <v>260</v>
      </c>
      <c r="F79" s="3" t="s">
        <v>261</v>
      </c>
      <c r="G79" s="4" t="s">
        <v>291</v>
      </c>
      <c r="H79" s="3" t="s">
        <v>292</v>
      </c>
      <c r="I79" s="3" t="s">
        <v>293</v>
      </c>
    </row>
    <row r="80" customFormat="false" ht="23.85" hidden="false" customHeight="false" outlineLevel="0" collapsed="false">
      <c r="A80" s="5" t="n">
        <v>24</v>
      </c>
      <c r="B80" s="6" t="s">
        <v>251</v>
      </c>
      <c r="C80" s="6" t="s">
        <v>294</v>
      </c>
      <c r="D80" s="6" t="s">
        <v>295</v>
      </c>
      <c r="E80" s="5" t="s">
        <v>296</v>
      </c>
      <c r="F80" s="6" t="s">
        <v>297</v>
      </c>
      <c r="G80" s="7" t="s">
        <v>298</v>
      </c>
      <c r="H80" s="6" t="s">
        <v>299</v>
      </c>
      <c r="I80" s="6" t="s">
        <v>300</v>
      </c>
    </row>
    <row r="81" customFormat="false" ht="23.85" hidden="false" customHeight="false" outlineLevel="0" collapsed="false">
      <c r="A81" s="5" t="n">
        <v>24</v>
      </c>
      <c r="B81" s="6" t="s">
        <v>251</v>
      </c>
      <c r="C81" s="6" t="s">
        <v>294</v>
      </c>
      <c r="D81" s="6" t="s">
        <v>295</v>
      </c>
      <c r="E81" s="5" t="s">
        <v>296</v>
      </c>
      <c r="F81" s="6" t="s">
        <v>297</v>
      </c>
      <c r="G81" s="7" t="s">
        <v>91</v>
      </c>
      <c r="H81" s="6" t="s">
        <v>301</v>
      </c>
      <c r="I81" s="6" t="s">
        <v>302</v>
      </c>
    </row>
    <row r="82" customFormat="false" ht="23.85" hidden="false" customHeight="false" outlineLevel="0" collapsed="false">
      <c r="A82" s="5" t="n">
        <v>24</v>
      </c>
      <c r="B82" s="6" t="s">
        <v>251</v>
      </c>
      <c r="C82" s="6" t="s">
        <v>294</v>
      </c>
      <c r="D82" s="6" t="s">
        <v>295</v>
      </c>
      <c r="E82" s="5" t="s">
        <v>22</v>
      </c>
      <c r="F82" s="6" t="s">
        <v>23</v>
      </c>
      <c r="G82" s="7" t="s">
        <v>303</v>
      </c>
      <c r="H82" s="6" t="s">
        <v>304</v>
      </c>
      <c r="I82" s="6" t="s">
        <v>305</v>
      </c>
    </row>
    <row r="83" customFormat="false" ht="23.85" hidden="false" customHeight="false" outlineLevel="0" collapsed="false">
      <c r="A83" s="5" t="n">
        <v>24</v>
      </c>
      <c r="B83" s="6" t="s">
        <v>251</v>
      </c>
      <c r="C83" s="6" t="s">
        <v>294</v>
      </c>
      <c r="D83" s="6" t="s">
        <v>295</v>
      </c>
      <c r="E83" s="5" t="s">
        <v>132</v>
      </c>
      <c r="F83" s="6" t="s">
        <v>133</v>
      </c>
      <c r="G83" s="7" t="s">
        <v>306</v>
      </c>
      <c r="H83" s="6" t="s">
        <v>307</v>
      </c>
      <c r="I83" s="6" t="s">
        <v>308</v>
      </c>
    </row>
    <row r="84" customFormat="false" ht="15" hidden="false" customHeight="false" outlineLevel="0" collapsed="false">
      <c r="A84" s="2" t="n">
        <v>25</v>
      </c>
      <c r="B84" s="3" t="s">
        <v>251</v>
      </c>
      <c r="C84" s="3" t="s">
        <v>309</v>
      </c>
      <c r="D84" s="3" t="s">
        <v>310</v>
      </c>
      <c r="E84" s="2" t="s">
        <v>22</v>
      </c>
      <c r="F84" s="3" t="s">
        <v>23</v>
      </c>
      <c r="G84" s="4" t="s">
        <v>24</v>
      </c>
      <c r="H84" s="3" t="s">
        <v>311</v>
      </c>
      <c r="I84" s="3" t="s">
        <v>312</v>
      </c>
    </row>
    <row r="85" customFormat="false" ht="23.85" hidden="false" customHeight="false" outlineLevel="0" collapsed="false">
      <c r="A85" s="2" t="n">
        <v>25</v>
      </c>
      <c r="B85" s="3" t="s">
        <v>251</v>
      </c>
      <c r="C85" s="3" t="s">
        <v>309</v>
      </c>
      <c r="D85" s="3" t="s">
        <v>310</v>
      </c>
      <c r="E85" s="2" t="s">
        <v>260</v>
      </c>
      <c r="F85" s="3" t="s">
        <v>261</v>
      </c>
      <c r="G85" s="4" t="s">
        <v>313</v>
      </c>
      <c r="H85" s="3" t="s">
        <v>314</v>
      </c>
      <c r="I85" s="3" t="s">
        <v>315</v>
      </c>
    </row>
    <row r="86" customFormat="false" ht="23.85" hidden="false" customHeight="false" outlineLevel="0" collapsed="false">
      <c r="A86" s="2" t="n">
        <v>25</v>
      </c>
      <c r="B86" s="3" t="s">
        <v>251</v>
      </c>
      <c r="C86" s="3" t="s">
        <v>309</v>
      </c>
      <c r="D86" s="3" t="s">
        <v>310</v>
      </c>
      <c r="E86" s="2" t="s">
        <v>12</v>
      </c>
      <c r="F86" s="3" t="s">
        <v>13</v>
      </c>
      <c r="G86" s="4" t="s">
        <v>316</v>
      </c>
      <c r="H86" s="3" t="s">
        <v>317</v>
      </c>
      <c r="I86" s="3" t="s">
        <v>318</v>
      </c>
    </row>
    <row r="87" customFormat="false" ht="23.85" hidden="false" customHeight="false" outlineLevel="0" collapsed="false">
      <c r="A87" s="2" t="n">
        <v>25</v>
      </c>
      <c r="B87" s="3" t="s">
        <v>251</v>
      </c>
      <c r="C87" s="3" t="s">
        <v>309</v>
      </c>
      <c r="D87" s="3" t="s">
        <v>310</v>
      </c>
      <c r="E87" s="2" t="s">
        <v>17</v>
      </c>
      <c r="F87" s="3" t="s">
        <v>18</v>
      </c>
      <c r="G87" s="4" t="s">
        <v>319</v>
      </c>
      <c r="H87" s="3" t="s">
        <v>320</v>
      </c>
      <c r="I87" s="3" t="s">
        <v>321</v>
      </c>
    </row>
    <row r="88" customFormat="false" ht="23.85" hidden="false" customHeight="false" outlineLevel="0" collapsed="false">
      <c r="A88" s="5" t="n">
        <v>26</v>
      </c>
      <c r="B88" s="6" t="s">
        <v>251</v>
      </c>
      <c r="C88" s="6" t="s">
        <v>322</v>
      </c>
      <c r="D88" s="6" t="s">
        <v>323</v>
      </c>
      <c r="E88" s="5" t="s">
        <v>32</v>
      </c>
      <c r="F88" s="6" t="s">
        <v>33</v>
      </c>
      <c r="G88" s="7" t="s">
        <v>181</v>
      </c>
      <c r="H88" s="6" t="s">
        <v>324</v>
      </c>
      <c r="I88" s="6" t="s">
        <v>325</v>
      </c>
    </row>
    <row r="89" customFormat="false" ht="23.85" hidden="false" customHeight="false" outlineLevel="0" collapsed="false">
      <c r="A89" s="5" t="n">
        <v>26</v>
      </c>
      <c r="B89" s="6" t="s">
        <v>251</v>
      </c>
      <c r="C89" s="6" t="s">
        <v>322</v>
      </c>
      <c r="D89" s="6" t="s">
        <v>323</v>
      </c>
      <c r="E89" s="5" t="s">
        <v>12</v>
      </c>
      <c r="F89" s="6" t="s">
        <v>13</v>
      </c>
      <c r="G89" s="7" t="s">
        <v>326</v>
      </c>
      <c r="H89" s="6" t="s">
        <v>327</v>
      </c>
      <c r="I89" s="6" t="s">
        <v>328</v>
      </c>
    </row>
    <row r="90" customFormat="false" ht="23.85" hidden="false" customHeight="false" outlineLevel="0" collapsed="false">
      <c r="A90" s="5" t="n">
        <v>26</v>
      </c>
      <c r="B90" s="6" t="s">
        <v>251</v>
      </c>
      <c r="C90" s="6" t="s">
        <v>322</v>
      </c>
      <c r="D90" s="6" t="s">
        <v>323</v>
      </c>
      <c r="E90" s="5" t="s">
        <v>22</v>
      </c>
      <c r="F90" s="6" t="s">
        <v>23</v>
      </c>
      <c r="G90" s="7" t="s">
        <v>329</v>
      </c>
      <c r="H90" s="6" t="s">
        <v>330</v>
      </c>
      <c r="I90" s="6" t="s">
        <v>331</v>
      </c>
    </row>
    <row r="91" customFormat="false" ht="23.85" hidden="false" customHeight="false" outlineLevel="0" collapsed="false">
      <c r="A91" s="5" t="n">
        <v>26</v>
      </c>
      <c r="B91" s="6" t="s">
        <v>251</v>
      </c>
      <c r="C91" s="6" t="s">
        <v>322</v>
      </c>
      <c r="D91" s="6" t="s">
        <v>323</v>
      </c>
      <c r="E91" s="5" t="s">
        <v>132</v>
      </c>
      <c r="F91" s="6" t="s">
        <v>133</v>
      </c>
      <c r="G91" s="7" t="s">
        <v>332</v>
      </c>
      <c r="H91" s="6" t="s">
        <v>333</v>
      </c>
      <c r="I91" s="6" t="s">
        <v>334</v>
      </c>
    </row>
    <row r="92" customFormat="false" ht="23.85" hidden="false" customHeight="false" outlineLevel="0" collapsed="false">
      <c r="A92" s="2" t="n">
        <v>27</v>
      </c>
      <c r="B92" s="3" t="s">
        <v>251</v>
      </c>
      <c r="C92" s="3" t="s">
        <v>335</v>
      </c>
      <c r="D92" s="3" t="s">
        <v>336</v>
      </c>
      <c r="E92" s="2" t="s">
        <v>32</v>
      </c>
      <c r="F92" s="3" t="s">
        <v>33</v>
      </c>
      <c r="G92" s="4" t="s">
        <v>337</v>
      </c>
      <c r="H92" s="3" t="s">
        <v>338</v>
      </c>
      <c r="I92" s="3" t="s">
        <v>339</v>
      </c>
    </row>
    <row r="93" customFormat="false" ht="23.85" hidden="false" customHeight="false" outlineLevel="0" collapsed="false">
      <c r="A93" s="2" t="n">
        <v>27</v>
      </c>
      <c r="B93" s="3" t="s">
        <v>251</v>
      </c>
      <c r="C93" s="3" t="s">
        <v>335</v>
      </c>
      <c r="D93" s="3" t="s">
        <v>336</v>
      </c>
      <c r="E93" s="2" t="s">
        <v>340</v>
      </c>
      <c r="F93" s="3" t="s">
        <v>341</v>
      </c>
      <c r="G93" s="4" t="s">
        <v>342</v>
      </c>
      <c r="H93" s="3" t="s">
        <v>343</v>
      </c>
      <c r="I93" s="3" t="s">
        <v>344</v>
      </c>
    </row>
    <row r="94" customFormat="false" ht="23.85" hidden="false" customHeight="false" outlineLevel="0" collapsed="false">
      <c r="A94" s="2" t="n">
        <v>27</v>
      </c>
      <c r="B94" s="3" t="s">
        <v>251</v>
      </c>
      <c r="C94" s="3" t="s">
        <v>335</v>
      </c>
      <c r="D94" s="3" t="s">
        <v>336</v>
      </c>
      <c r="E94" s="2" t="s">
        <v>345</v>
      </c>
      <c r="F94" s="3" t="s">
        <v>346</v>
      </c>
      <c r="G94" s="4" t="s">
        <v>347</v>
      </c>
      <c r="H94" s="3" t="s">
        <v>348</v>
      </c>
      <c r="I94" s="3" t="s">
        <v>349</v>
      </c>
    </row>
    <row r="95" customFormat="false" ht="15" hidden="false" customHeight="false" outlineLevel="0" collapsed="false">
      <c r="A95" s="2" t="n">
        <v>27</v>
      </c>
      <c r="B95" s="3" t="s">
        <v>251</v>
      </c>
      <c r="C95" s="3" t="s">
        <v>335</v>
      </c>
      <c r="D95" s="3" t="s">
        <v>336</v>
      </c>
      <c r="E95" s="2" t="s">
        <v>22</v>
      </c>
      <c r="F95" s="3" t="s">
        <v>23</v>
      </c>
      <c r="G95" s="4" t="s">
        <v>350</v>
      </c>
      <c r="H95" s="3" t="s">
        <v>351</v>
      </c>
      <c r="I95" s="3" t="s">
        <v>352</v>
      </c>
    </row>
    <row r="96" customFormat="false" ht="23.85" hidden="false" customHeight="false" outlineLevel="0" collapsed="false">
      <c r="A96" s="5" t="n">
        <v>28</v>
      </c>
      <c r="B96" s="6" t="s">
        <v>251</v>
      </c>
      <c r="C96" s="6" t="s">
        <v>353</v>
      </c>
      <c r="D96" s="6" t="s">
        <v>354</v>
      </c>
      <c r="E96" s="5" t="s">
        <v>22</v>
      </c>
      <c r="F96" s="6" t="s">
        <v>23</v>
      </c>
      <c r="G96" s="7" t="s">
        <v>355</v>
      </c>
      <c r="H96" s="6" t="s">
        <v>356</v>
      </c>
      <c r="I96" s="6" t="s">
        <v>357</v>
      </c>
    </row>
    <row r="97" customFormat="false" ht="23.85" hidden="false" customHeight="false" outlineLevel="0" collapsed="false">
      <c r="A97" s="5" t="n">
        <v>28</v>
      </c>
      <c r="B97" s="6" t="s">
        <v>251</v>
      </c>
      <c r="C97" s="6" t="s">
        <v>353</v>
      </c>
      <c r="D97" s="6" t="s">
        <v>354</v>
      </c>
      <c r="E97" s="5" t="s">
        <v>132</v>
      </c>
      <c r="F97" s="6" t="s">
        <v>133</v>
      </c>
      <c r="G97" s="7" t="s">
        <v>303</v>
      </c>
      <c r="H97" s="6" t="s">
        <v>358</v>
      </c>
      <c r="I97" s="6" t="s">
        <v>359</v>
      </c>
    </row>
    <row r="98" customFormat="false" ht="15" hidden="false" customHeight="false" outlineLevel="0" collapsed="false">
      <c r="A98" s="5" t="n">
        <v>28</v>
      </c>
      <c r="B98" s="6" t="s">
        <v>251</v>
      </c>
      <c r="C98" s="6" t="s">
        <v>353</v>
      </c>
      <c r="D98" s="6" t="s">
        <v>354</v>
      </c>
      <c r="E98" s="5" t="s">
        <v>340</v>
      </c>
      <c r="F98" s="6" t="s">
        <v>341</v>
      </c>
      <c r="G98" s="7" t="s">
        <v>360</v>
      </c>
      <c r="H98" s="6" t="s">
        <v>361</v>
      </c>
      <c r="I98" s="6" t="s">
        <v>362</v>
      </c>
    </row>
    <row r="99" customFormat="false" ht="23.85" hidden="false" customHeight="false" outlineLevel="0" collapsed="false">
      <c r="A99" s="5" t="n">
        <v>28</v>
      </c>
      <c r="B99" s="6" t="s">
        <v>251</v>
      </c>
      <c r="C99" s="6" t="s">
        <v>353</v>
      </c>
      <c r="D99" s="6" t="s">
        <v>354</v>
      </c>
      <c r="E99" s="5" t="s">
        <v>17</v>
      </c>
      <c r="F99" s="6" t="s">
        <v>18</v>
      </c>
      <c r="G99" s="7" t="s">
        <v>363</v>
      </c>
      <c r="H99" s="6" t="s">
        <v>364</v>
      </c>
      <c r="I99" s="6" t="s">
        <v>365</v>
      </c>
    </row>
    <row r="100" customFormat="false" ht="23.85" hidden="false" customHeight="false" outlineLevel="0" collapsed="false">
      <c r="A100" s="2" t="n">
        <v>29</v>
      </c>
      <c r="B100" s="3" t="s">
        <v>251</v>
      </c>
      <c r="C100" s="3" t="s">
        <v>366</v>
      </c>
      <c r="D100" s="3" t="s">
        <v>367</v>
      </c>
      <c r="E100" s="2" t="s">
        <v>296</v>
      </c>
      <c r="F100" s="3" t="s">
        <v>297</v>
      </c>
      <c r="G100" s="4" t="s">
        <v>368</v>
      </c>
      <c r="H100" s="3" t="s">
        <v>369</v>
      </c>
      <c r="I100" s="3" t="s">
        <v>370</v>
      </c>
    </row>
    <row r="101" customFormat="false" ht="15" hidden="false" customHeight="false" outlineLevel="0" collapsed="false">
      <c r="A101" s="2" t="n">
        <v>29</v>
      </c>
      <c r="B101" s="3" t="s">
        <v>251</v>
      </c>
      <c r="C101" s="3" t="s">
        <v>366</v>
      </c>
      <c r="D101" s="3" t="s">
        <v>367</v>
      </c>
      <c r="E101" s="2" t="s">
        <v>22</v>
      </c>
      <c r="F101" s="3" t="s">
        <v>23</v>
      </c>
      <c r="G101" s="4" t="s">
        <v>181</v>
      </c>
      <c r="H101" s="3" t="s">
        <v>371</v>
      </c>
      <c r="I101" s="3" t="s">
        <v>372</v>
      </c>
    </row>
    <row r="102" customFormat="false" ht="23.85" hidden="false" customHeight="false" outlineLevel="0" collapsed="false">
      <c r="A102" s="2" t="n">
        <v>29</v>
      </c>
      <c r="B102" s="3" t="s">
        <v>251</v>
      </c>
      <c r="C102" s="3" t="s">
        <v>366</v>
      </c>
      <c r="D102" s="3" t="s">
        <v>367</v>
      </c>
      <c r="E102" s="2" t="s">
        <v>22</v>
      </c>
      <c r="F102" s="3" t="s">
        <v>23</v>
      </c>
      <c r="G102" s="4" t="s">
        <v>373</v>
      </c>
      <c r="H102" s="3" t="s">
        <v>374</v>
      </c>
      <c r="I102" s="3" t="s">
        <v>375</v>
      </c>
    </row>
    <row r="103" customFormat="false" ht="15" hidden="false" customHeight="false" outlineLevel="0" collapsed="false">
      <c r="A103" s="2" t="n">
        <v>29</v>
      </c>
      <c r="B103" s="3" t="s">
        <v>251</v>
      </c>
      <c r="C103" s="3" t="s">
        <v>366</v>
      </c>
      <c r="D103" s="3" t="s">
        <v>367</v>
      </c>
      <c r="E103" s="2" t="s">
        <v>340</v>
      </c>
      <c r="F103" s="3" t="s">
        <v>341</v>
      </c>
      <c r="G103" s="4" t="s">
        <v>34</v>
      </c>
      <c r="H103" s="3" t="s">
        <v>376</v>
      </c>
      <c r="I103" s="3" t="s">
        <v>377</v>
      </c>
    </row>
    <row r="104" customFormat="false" ht="23.85" hidden="false" customHeight="false" outlineLevel="0" collapsed="false">
      <c r="A104" s="5" t="n">
        <v>30</v>
      </c>
      <c r="B104" s="6" t="s">
        <v>251</v>
      </c>
      <c r="C104" s="6" t="s">
        <v>378</v>
      </c>
      <c r="D104" s="6" t="s">
        <v>379</v>
      </c>
      <c r="E104" s="5" t="s">
        <v>296</v>
      </c>
      <c r="F104" s="6" t="s">
        <v>297</v>
      </c>
      <c r="G104" s="7" t="s">
        <v>42</v>
      </c>
      <c r="H104" s="6" t="s">
        <v>380</v>
      </c>
      <c r="I104" s="6" t="s">
        <v>381</v>
      </c>
    </row>
    <row r="105" customFormat="false" ht="23.85" hidden="false" customHeight="false" outlineLevel="0" collapsed="false">
      <c r="A105" s="5" t="n">
        <v>30</v>
      </c>
      <c r="B105" s="6" t="s">
        <v>251</v>
      </c>
      <c r="C105" s="6" t="s">
        <v>378</v>
      </c>
      <c r="D105" s="6" t="s">
        <v>379</v>
      </c>
      <c r="E105" s="5" t="s">
        <v>296</v>
      </c>
      <c r="F105" s="6" t="s">
        <v>297</v>
      </c>
      <c r="G105" s="7" t="s">
        <v>382</v>
      </c>
      <c r="H105" s="6" t="s">
        <v>383</v>
      </c>
      <c r="I105" s="6" t="s">
        <v>384</v>
      </c>
    </row>
    <row r="106" customFormat="false" ht="23.85" hidden="false" customHeight="false" outlineLevel="0" collapsed="false">
      <c r="A106" s="5" t="n">
        <v>30</v>
      </c>
      <c r="B106" s="6" t="s">
        <v>251</v>
      </c>
      <c r="C106" s="6" t="s">
        <v>378</v>
      </c>
      <c r="D106" s="6" t="s">
        <v>379</v>
      </c>
      <c r="E106" s="5" t="s">
        <v>345</v>
      </c>
      <c r="F106" s="6" t="s">
        <v>346</v>
      </c>
      <c r="G106" s="7" t="s">
        <v>347</v>
      </c>
      <c r="H106" s="6" t="s">
        <v>385</v>
      </c>
      <c r="I106" s="6" t="s">
        <v>386</v>
      </c>
    </row>
    <row r="107" customFormat="false" ht="23.85" hidden="false" customHeight="false" outlineLevel="0" collapsed="false">
      <c r="A107" s="5" t="n">
        <v>30</v>
      </c>
      <c r="B107" s="6" t="s">
        <v>251</v>
      </c>
      <c r="C107" s="6" t="s">
        <v>378</v>
      </c>
      <c r="D107" s="6" t="s">
        <v>379</v>
      </c>
      <c r="E107" s="5" t="s">
        <v>32</v>
      </c>
      <c r="F107" s="6" t="s">
        <v>33</v>
      </c>
      <c r="G107" s="7" t="s">
        <v>387</v>
      </c>
      <c r="H107" s="6" t="s">
        <v>388</v>
      </c>
      <c r="I107" s="6" t="s">
        <v>339</v>
      </c>
    </row>
    <row r="108" customFormat="false" ht="23.85" hidden="false" customHeight="false" outlineLevel="0" collapsed="false">
      <c r="A108" s="2" t="n">
        <v>31</v>
      </c>
      <c r="B108" s="3" t="s">
        <v>389</v>
      </c>
      <c r="C108" s="3" t="s">
        <v>390</v>
      </c>
      <c r="D108" s="3" t="s">
        <v>391</v>
      </c>
      <c r="E108" s="2" t="s">
        <v>340</v>
      </c>
      <c r="F108" s="3" t="s">
        <v>341</v>
      </c>
      <c r="G108" s="4" t="s">
        <v>91</v>
      </c>
      <c r="H108" s="3" t="s">
        <v>392</v>
      </c>
      <c r="I108" s="3" t="s">
        <v>393</v>
      </c>
    </row>
    <row r="109" customFormat="false" ht="23.85" hidden="false" customHeight="false" outlineLevel="0" collapsed="false">
      <c r="A109" s="2" t="n">
        <v>31</v>
      </c>
      <c r="B109" s="3" t="s">
        <v>389</v>
      </c>
      <c r="C109" s="3" t="s">
        <v>390</v>
      </c>
      <c r="D109" s="3" t="s">
        <v>391</v>
      </c>
      <c r="E109" s="2" t="s">
        <v>340</v>
      </c>
      <c r="F109" s="3" t="s">
        <v>341</v>
      </c>
      <c r="G109" s="4" t="s">
        <v>394</v>
      </c>
      <c r="H109" s="3" t="s">
        <v>395</v>
      </c>
      <c r="I109" s="3" t="s">
        <v>396</v>
      </c>
    </row>
    <row r="110" customFormat="false" ht="23.85" hidden="false" customHeight="false" outlineLevel="0" collapsed="false">
      <c r="A110" s="2" t="n">
        <v>31</v>
      </c>
      <c r="B110" s="3" t="s">
        <v>389</v>
      </c>
      <c r="C110" s="3" t="s">
        <v>390</v>
      </c>
      <c r="D110" s="3" t="s">
        <v>391</v>
      </c>
      <c r="E110" s="2" t="s">
        <v>22</v>
      </c>
      <c r="F110" s="3" t="s">
        <v>23</v>
      </c>
      <c r="G110" s="4" t="s">
        <v>254</v>
      </c>
      <c r="H110" s="3" t="s">
        <v>397</v>
      </c>
      <c r="I110" s="3" t="s">
        <v>398</v>
      </c>
    </row>
    <row r="111" customFormat="false" ht="23.85" hidden="false" customHeight="false" outlineLevel="0" collapsed="false">
      <c r="A111" s="2" t="n">
        <v>31</v>
      </c>
      <c r="B111" s="3" t="s">
        <v>389</v>
      </c>
      <c r="C111" s="3" t="s">
        <v>390</v>
      </c>
      <c r="D111" s="3" t="s">
        <v>391</v>
      </c>
      <c r="E111" s="2" t="s">
        <v>17</v>
      </c>
      <c r="F111" s="3" t="s">
        <v>18</v>
      </c>
      <c r="G111" s="4" t="s">
        <v>399</v>
      </c>
      <c r="H111" s="3" t="s">
        <v>400</v>
      </c>
      <c r="I111" s="3" t="s">
        <v>401</v>
      </c>
    </row>
    <row r="112" customFormat="false" ht="23.85" hidden="false" customHeight="false" outlineLevel="0" collapsed="false">
      <c r="A112" s="5" t="n">
        <v>32</v>
      </c>
      <c r="B112" s="6" t="s">
        <v>389</v>
      </c>
      <c r="C112" s="6" t="s">
        <v>402</v>
      </c>
      <c r="D112" s="6" t="s">
        <v>403</v>
      </c>
      <c r="E112" s="5" t="s">
        <v>340</v>
      </c>
      <c r="F112" s="6" t="s">
        <v>341</v>
      </c>
      <c r="G112" s="7" t="s">
        <v>404</v>
      </c>
      <c r="H112" s="6" t="s">
        <v>405</v>
      </c>
      <c r="I112" s="6" t="s">
        <v>406</v>
      </c>
    </row>
    <row r="113" customFormat="false" ht="23.85" hidden="false" customHeight="false" outlineLevel="0" collapsed="false">
      <c r="A113" s="5" t="n">
        <v>32</v>
      </c>
      <c r="B113" s="6" t="s">
        <v>389</v>
      </c>
      <c r="C113" s="6" t="s">
        <v>402</v>
      </c>
      <c r="D113" s="6" t="s">
        <v>403</v>
      </c>
      <c r="E113" s="5" t="s">
        <v>340</v>
      </c>
      <c r="F113" s="6" t="s">
        <v>341</v>
      </c>
      <c r="G113" s="7" t="s">
        <v>407</v>
      </c>
      <c r="H113" s="6" t="s">
        <v>408</v>
      </c>
      <c r="I113" s="6" t="s">
        <v>409</v>
      </c>
    </row>
    <row r="114" customFormat="false" ht="23.85" hidden="false" customHeight="false" outlineLevel="0" collapsed="false">
      <c r="A114" s="5" t="n">
        <v>32</v>
      </c>
      <c r="B114" s="6" t="s">
        <v>389</v>
      </c>
      <c r="C114" s="6" t="s">
        <v>402</v>
      </c>
      <c r="D114" s="6" t="s">
        <v>403</v>
      </c>
      <c r="E114" s="5" t="s">
        <v>32</v>
      </c>
      <c r="F114" s="6" t="s">
        <v>33</v>
      </c>
      <c r="G114" s="7" t="s">
        <v>303</v>
      </c>
      <c r="H114" s="6" t="s">
        <v>410</v>
      </c>
      <c r="I114" s="6" t="s">
        <v>411</v>
      </c>
    </row>
    <row r="115" customFormat="false" ht="23.85" hidden="false" customHeight="false" outlineLevel="0" collapsed="false">
      <c r="A115" s="5" t="n">
        <v>32</v>
      </c>
      <c r="B115" s="6" t="s">
        <v>389</v>
      </c>
      <c r="C115" s="6" t="s">
        <v>402</v>
      </c>
      <c r="D115" s="6" t="s">
        <v>403</v>
      </c>
      <c r="E115" s="5" t="s">
        <v>22</v>
      </c>
      <c r="F115" s="6" t="s">
        <v>23</v>
      </c>
      <c r="G115" s="7" t="s">
        <v>412</v>
      </c>
      <c r="H115" s="6" t="s">
        <v>413</v>
      </c>
      <c r="I115" s="6" t="s">
        <v>414</v>
      </c>
    </row>
    <row r="116" customFormat="false" ht="23.85" hidden="false" customHeight="false" outlineLevel="0" collapsed="false">
      <c r="A116" s="2" t="n">
        <v>33</v>
      </c>
      <c r="B116" s="3" t="s">
        <v>389</v>
      </c>
      <c r="C116" s="3" t="s">
        <v>415</v>
      </c>
      <c r="D116" s="3" t="s">
        <v>416</v>
      </c>
      <c r="E116" s="2" t="s">
        <v>340</v>
      </c>
      <c r="F116" s="3" t="s">
        <v>341</v>
      </c>
      <c r="G116" s="4" t="s">
        <v>417</v>
      </c>
      <c r="H116" s="3" t="s">
        <v>418</v>
      </c>
      <c r="I116" s="3" t="s">
        <v>419</v>
      </c>
    </row>
    <row r="117" customFormat="false" ht="23.85" hidden="false" customHeight="false" outlineLevel="0" collapsed="false">
      <c r="A117" s="2" t="n">
        <v>33</v>
      </c>
      <c r="B117" s="3" t="s">
        <v>389</v>
      </c>
      <c r="C117" s="3" t="s">
        <v>415</v>
      </c>
      <c r="D117" s="3" t="s">
        <v>416</v>
      </c>
      <c r="E117" s="2" t="s">
        <v>340</v>
      </c>
      <c r="F117" s="3" t="s">
        <v>341</v>
      </c>
      <c r="G117" s="4" t="s">
        <v>420</v>
      </c>
      <c r="H117" s="3" t="s">
        <v>421</v>
      </c>
      <c r="I117" s="3" t="s">
        <v>422</v>
      </c>
    </row>
    <row r="118" customFormat="false" ht="23.85" hidden="false" customHeight="false" outlineLevel="0" collapsed="false">
      <c r="A118" s="2" t="n">
        <v>33</v>
      </c>
      <c r="B118" s="3" t="s">
        <v>389</v>
      </c>
      <c r="C118" s="3" t="s">
        <v>415</v>
      </c>
      <c r="D118" s="3" t="s">
        <v>416</v>
      </c>
      <c r="E118" s="2" t="s">
        <v>32</v>
      </c>
      <c r="F118" s="3" t="s">
        <v>33</v>
      </c>
      <c r="G118" s="4" t="s">
        <v>337</v>
      </c>
      <c r="H118" s="3" t="s">
        <v>423</v>
      </c>
      <c r="I118" s="3" t="s">
        <v>339</v>
      </c>
    </row>
    <row r="119" customFormat="false" ht="23.85" hidden="false" customHeight="false" outlineLevel="0" collapsed="false">
      <c r="A119" s="2" t="n">
        <v>33</v>
      </c>
      <c r="B119" s="3" t="s">
        <v>389</v>
      </c>
      <c r="C119" s="3" t="s">
        <v>415</v>
      </c>
      <c r="D119" s="3" t="s">
        <v>416</v>
      </c>
      <c r="E119" s="2" t="s">
        <v>22</v>
      </c>
      <c r="F119" s="3" t="s">
        <v>23</v>
      </c>
      <c r="G119" s="4" t="s">
        <v>254</v>
      </c>
      <c r="H119" s="3" t="s">
        <v>424</v>
      </c>
      <c r="I119" s="3" t="s">
        <v>425</v>
      </c>
    </row>
    <row r="120" customFormat="false" ht="23.85" hidden="false" customHeight="false" outlineLevel="0" collapsed="false">
      <c r="A120" s="5" t="n">
        <v>34</v>
      </c>
      <c r="B120" s="6" t="s">
        <v>389</v>
      </c>
      <c r="C120" s="6" t="s">
        <v>426</v>
      </c>
      <c r="D120" s="6" t="s">
        <v>427</v>
      </c>
      <c r="E120" s="5" t="s">
        <v>296</v>
      </c>
      <c r="F120" s="6" t="s">
        <v>297</v>
      </c>
      <c r="G120" s="7" t="s">
        <v>254</v>
      </c>
      <c r="H120" s="6" t="s">
        <v>428</v>
      </c>
      <c r="I120" s="6" t="s">
        <v>429</v>
      </c>
    </row>
    <row r="121" customFormat="false" ht="23.85" hidden="false" customHeight="false" outlineLevel="0" collapsed="false">
      <c r="A121" s="5" t="n">
        <v>34</v>
      </c>
      <c r="B121" s="6" t="s">
        <v>389</v>
      </c>
      <c r="C121" s="6" t="s">
        <v>426</v>
      </c>
      <c r="D121" s="6" t="s">
        <v>427</v>
      </c>
      <c r="E121" s="5" t="s">
        <v>296</v>
      </c>
      <c r="F121" s="6" t="s">
        <v>297</v>
      </c>
      <c r="G121" s="7" t="s">
        <v>88</v>
      </c>
      <c r="H121" s="6" t="s">
        <v>430</v>
      </c>
      <c r="I121" s="6" t="s">
        <v>429</v>
      </c>
    </row>
    <row r="122" customFormat="false" ht="35.05" hidden="false" customHeight="false" outlineLevel="0" collapsed="false">
      <c r="A122" s="5" t="n">
        <v>34</v>
      </c>
      <c r="B122" s="6" t="s">
        <v>389</v>
      </c>
      <c r="C122" s="6" t="s">
        <v>426</v>
      </c>
      <c r="D122" s="6" t="s">
        <v>427</v>
      </c>
      <c r="E122" s="5" t="s">
        <v>32</v>
      </c>
      <c r="F122" s="6" t="s">
        <v>33</v>
      </c>
      <c r="G122" s="7" t="s">
        <v>431</v>
      </c>
      <c r="H122" s="6" t="s">
        <v>432</v>
      </c>
      <c r="I122" s="6" t="s">
        <v>433</v>
      </c>
    </row>
    <row r="123" customFormat="false" ht="23.85" hidden="false" customHeight="false" outlineLevel="0" collapsed="false">
      <c r="A123" s="5" t="n">
        <v>34</v>
      </c>
      <c r="B123" s="6" t="s">
        <v>389</v>
      </c>
      <c r="C123" s="6" t="s">
        <v>426</v>
      </c>
      <c r="D123" s="6" t="s">
        <v>427</v>
      </c>
      <c r="E123" s="5" t="s">
        <v>340</v>
      </c>
      <c r="F123" s="6" t="s">
        <v>341</v>
      </c>
      <c r="G123" s="7" t="s">
        <v>303</v>
      </c>
      <c r="H123" s="6" t="s">
        <v>434</v>
      </c>
      <c r="I123" s="6" t="s">
        <v>435</v>
      </c>
    </row>
    <row r="124" customFormat="false" ht="23.85" hidden="false" customHeight="false" outlineLevel="0" collapsed="false">
      <c r="A124" s="5" t="n">
        <v>34</v>
      </c>
      <c r="B124" s="6" t="s">
        <v>389</v>
      </c>
      <c r="C124" s="6" t="s">
        <v>426</v>
      </c>
      <c r="D124" s="6" t="s">
        <v>427</v>
      </c>
      <c r="E124" s="5" t="s">
        <v>17</v>
      </c>
      <c r="F124" s="6" t="s">
        <v>18</v>
      </c>
      <c r="G124" s="7" t="s">
        <v>19</v>
      </c>
      <c r="H124" s="6" t="s">
        <v>436</v>
      </c>
      <c r="I124" s="6" t="s">
        <v>437</v>
      </c>
    </row>
    <row r="125" customFormat="false" ht="23.85" hidden="false" customHeight="false" outlineLevel="0" collapsed="false">
      <c r="A125" s="2" t="n">
        <v>35</v>
      </c>
      <c r="B125" s="3" t="s">
        <v>389</v>
      </c>
      <c r="C125" s="3" t="s">
        <v>438</v>
      </c>
      <c r="D125" s="3" t="s">
        <v>439</v>
      </c>
      <c r="E125" s="2" t="s">
        <v>32</v>
      </c>
      <c r="F125" s="3" t="s">
        <v>33</v>
      </c>
      <c r="G125" s="4" t="s">
        <v>91</v>
      </c>
      <c r="H125" s="3" t="s">
        <v>440</v>
      </c>
      <c r="I125" s="3" t="s">
        <v>441</v>
      </c>
    </row>
    <row r="126" customFormat="false" ht="23.85" hidden="false" customHeight="false" outlineLevel="0" collapsed="false">
      <c r="A126" s="2" t="n">
        <v>35</v>
      </c>
      <c r="B126" s="3" t="s">
        <v>389</v>
      </c>
      <c r="C126" s="3" t="s">
        <v>438</v>
      </c>
      <c r="D126" s="3" t="s">
        <v>439</v>
      </c>
      <c r="E126" s="2" t="s">
        <v>340</v>
      </c>
      <c r="F126" s="3" t="s">
        <v>341</v>
      </c>
      <c r="G126" s="4" t="s">
        <v>442</v>
      </c>
      <c r="H126" s="3" t="s">
        <v>443</v>
      </c>
      <c r="I126" s="3" t="s">
        <v>444</v>
      </c>
    </row>
    <row r="127" customFormat="false" ht="23.85" hidden="false" customHeight="false" outlineLevel="0" collapsed="false">
      <c r="A127" s="2" t="n">
        <v>35</v>
      </c>
      <c r="B127" s="3" t="s">
        <v>389</v>
      </c>
      <c r="C127" s="3" t="s">
        <v>438</v>
      </c>
      <c r="D127" s="3" t="s">
        <v>439</v>
      </c>
      <c r="E127" s="2" t="s">
        <v>340</v>
      </c>
      <c r="F127" s="3" t="s">
        <v>341</v>
      </c>
      <c r="G127" s="4" t="s">
        <v>109</v>
      </c>
      <c r="H127" s="3" t="s">
        <v>445</v>
      </c>
      <c r="I127" s="3" t="s">
        <v>446</v>
      </c>
    </row>
    <row r="128" customFormat="false" ht="23.85" hidden="false" customHeight="false" outlineLevel="0" collapsed="false">
      <c r="A128" s="2" t="n">
        <v>35</v>
      </c>
      <c r="B128" s="3" t="s">
        <v>389</v>
      </c>
      <c r="C128" s="3" t="s">
        <v>438</v>
      </c>
      <c r="D128" s="3" t="s">
        <v>439</v>
      </c>
      <c r="E128" s="2" t="s">
        <v>22</v>
      </c>
      <c r="F128" s="3" t="s">
        <v>23</v>
      </c>
      <c r="G128" s="4" t="s">
        <v>67</v>
      </c>
      <c r="H128" s="3" t="s">
        <v>447</v>
      </c>
      <c r="I128" s="3" t="s">
        <v>448</v>
      </c>
    </row>
    <row r="129" customFormat="false" ht="23.85" hidden="false" customHeight="false" outlineLevel="0" collapsed="false">
      <c r="A129" s="2" t="n">
        <v>35</v>
      </c>
      <c r="B129" s="3" t="s">
        <v>389</v>
      </c>
      <c r="C129" s="3" t="s">
        <v>438</v>
      </c>
      <c r="D129" s="3" t="s">
        <v>439</v>
      </c>
      <c r="E129" s="2" t="s">
        <v>345</v>
      </c>
      <c r="F129" s="3" t="s">
        <v>346</v>
      </c>
      <c r="G129" s="4" t="s">
        <v>360</v>
      </c>
      <c r="H129" s="3" t="s">
        <v>449</v>
      </c>
      <c r="I129" s="3" t="s">
        <v>450</v>
      </c>
    </row>
    <row r="130" customFormat="false" ht="23.85" hidden="false" customHeight="false" outlineLevel="0" collapsed="false">
      <c r="A130" s="5" t="n">
        <v>36</v>
      </c>
      <c r="B130" s="6" t="s">
        <v>389</v>
      </c>
      <c r="C130" s="6" t="s">
        <v>451</v>
      </c>
      <c r="D130" s="6" t="s">
        <v>452</v>
      </c>
      <c r="E130" s="5" t="s">
        <v>340</v>
      </c>
      <c r="F130" s="6" t="s">
        <v>341</v>
      </c>
      <c r="G130" s="7" t="s">
        <v>382</v>
      </c>
      <c r="H130" s="6" t="s">
        <v>453</v>
      </c>
      <c r="I130" s="6" t="s">
        <v>454</v>
      </c>
    </row>
    <row r="131" customFormat="false" ht="23.85" hidden="false" customHeight="false" outlineLevel="0" collapsed="false">
      <c r="A131" s="5" t="n">
        <v>36</v>
      </c>
      <c r="B131" s="6" t="s">
        <v>389</v>
      </c>
      <c r="C131" s="6" t="s">
        <v>451</v>
      </c>
      <c r="D131" s="6" t="s">
        <v>452</v>
      </c>
      <c r="E131" s="5" t="s">
        <v>340</v>
      </c>
      <c r="F131" s="6" t="s">
        <v>341</v>
      </c>
      <c r="G131" s="7" t="s">
        <v>455</v>
      </c>
      <c r="H131" s="6" t="s">
        <v>456</v>
      </c>
      <c r="I131" s="6" t="s">
        <v>457</v>
      </c>
    </row>
    <row r="132" customFormat="false" ht="23.85" hidden="false" customHeight="false" outlineLevel="0" collapsed="false">
      <c r="A132" s="5" t="n">
        <v>36</v>
      </c>
      <c r="B132" s="6" t="s">
        <v>389</v>
      </c>
      <c r="C132" s="6" t="s">
        <v>451</v>
      </c>
      <c r="D132" s="6" t="s">
        <v>452</v>
      </c>
      <c r="E132" s="5" t="s">
        <v>22</v>
      </c>
      <c r="F132" s="6" t="s">
        <v>23</v>
      </c>
      <c r="G132" s="7" t="s">
        <v>227</v>
      </c>
      <c r="H132" s="6" t="s">
        <v>458</v>
      </c>
      <c r="I132" s="6" t="s">
        <v>459</v>
      </c>
    </row>
    <row r="133" customFormat="false" ht="23.85" hidden="false" customHeight="false" outlineLevel="0" collapsed="false">
      <c r="A133" s="5" t="n">
        <v>36</v>
      </c>
      <c r="B133" s="6" t="s">
        <v>389</v>
      </c>
      <c r="C133" s="6" t="s">
        <v>451</v>
      </c>
      <c r="D133" s="6" t="s">
        <v>452</v>
      </c>
      <c r="E133" s="5" t="s">
        <v>132</v>
      </c>
      <c r="F133" s="6" t="s">
        <v>133</v>
      </c>
      <c r="G133" s="7" t="s">
        <v>460</v>
      </c>
      <c r="H133" s="6" t="s">
        <v>461</v>
      </c>
      <c r="I133" s="6" t="s">
        <v>462</v>
      </c>
    </row>
    <row r="134" customFormat="false" ht="23.85" hidden="false" customHeight="false" outlineLevel="0" collapsed="false">
      <c r="A134" s="5" t="n">
        <v>36</v>
      </c>
      <c r="B134" s="6" t="s">
        <v>389</v>
      </c>
      <c r="C134" s="6" t="s">
        <v>451</v>
      </c>
      <c r="D134" s="6" t="s">
        <v>452</v>
      </c>
      <c r="E134" s="5" t="s">
        <v>17</v>
      </c>
      <c r="F134" s="6" t="s">
        <v>18</v>
      </c>
      <c r="G134" s="7" t="s">
        <v>463</v>
      </c>
      <c r="H134" s="6" t="s">
        <v>464</v>
      </c>
      <c r="I134" s="6" t="s">
        <v>465</v>
      </c>
    </row>
    <row r="135" customFormat="false" ht="23.85" hidden="false" customHeight="false" outlineLevel="0" collapsed="false">
      <c r="A135" s="2" t="n">
        <v>37</v>
      </c>
      <c r="B135" s="3" t="s">
        <v>389</v>
      </c>
      <c r="C135" s="3" t="s">
        <v>466</v>
      </c>
      <c r="D135" s="3" t="s">
        <v>11</v>
      </c>
      <c r="E135" s="2" t="s">
        <v>132</v>
      </c>
      <c r="F135" s="3" t="s">
        <v>133</v>
      </c>
      <c r="G135" s="4" t="s">
        <v>467</v>
      </c>
      <c r="H135" s="3" t="s">
        <v>468</v>
      </c>
      <c r="I135" s="3" t="s">
        <v>469</v>
      </c>
    </row>
    <row r="136" customFormat="false" ht="35.05" hidden="false" customHeight="false" outlineLevel="0" collapsed="false">
      <c r="A136" s="2" t="n">
        <v>37</v>
      </c>
      <c r="B136" s="3" t="s">
        <v>389</v>
      </c>
      <c r="C136" s="3" t="s">
        <v>466</v>
      </c>
      <c r="D136" s="3" t="s">
        <v>11</v>
      </c>
      <c r="E136" s="2" t="s">
        <v>78</v>
      </c>
      <c r="F136" s="3" t="s">
        <v>79</v>
      </c>
      <c r="G136" s="4" t="s">
        <v>417</v>
      </c>
      <c r="H136" s="3" t="s">
        <v>470</v>
      </c>
      <c r="I136" s="3" t="s">
        <v>471</v>
      </c>
    </row>
    <row r="137" customFormat="false" ht="23.85" hidden="false" customHeight="false" outlineLevel="0" collapsed="false">
      <c r="A137" s="2" t="n">
        <v>37</v>
      </c>
      <c r="B137" s="3" t="s">
        <v>389</v>
      </c>
      <c r="C137" s="3" t="s">
        <v>466</v>
      </c>
      <c r="D137" s="3" t="s">
        <v>11</v>
      </c>
      <c r="E137" s="2" t="s">
        <v>340</v>
      </c>
      <c r="F137" s="3" t="s">
        <v>341</v>
      </c>
      <c r="G137" s="4" t="s">
        <v>472</v>
      </c>
      <c r="H137" s="3" t="s">
        <v>473</v>
      </c>
      <c r="I137" s="3" t="s">
        <v>474</v>
      </c>
    </row>
    <row r="138" customFormat="false" ht="23.85" hidden="false" customHeight="false" outlineLevel="0" collapsed="false">
      <c r="A138" s="2" t="n">
        <v>37</v>
      </c>
      <c r="B138" s="3" t="s">
        <v>389</v>
      </c>
      <c r="C138" s="3" t="s">
        <v>466</v>
      </c>
      <c r="D138" s="3" t="s">
        <v>11</v>
      </c>
      <c r="E138" s="2" t="s">
        <v>340</v>
      </c>
      <c r="F138" s="3" t="s">
        <v>341</v>
      </c>
      <c r="G138" s="4" t="s">
        <v>475</v>
      </c>
      <c r="H138" s="3" t="s">
        <v>476</v>
      </c>
      <c r="I138" s="3" t="s">
        <v>477</v>
      </c>
    </row>
    <row r="139" customFormat="false" ht="23.85" hidden="false" customHeight="false" outlineLevel="0" collapsed="false">
      <c r="A139" s="2" t="n">
        <v>37</v>
      </c>
      <c r="B139" s="3" t="s">
        <v>389</v>
      </c>
      <c r="C139" s="3" t="s">
        <v>466</v>
      </c>
      <c r="D139" s="3" t="s">
        <v>11</v>
      </c>
      <c r="E139" s="2" t="s">
        <v>22</v>
      </c>
      <c r="F139" s="3" t="s">
        <v>23</v>
      </c>
      <c r="G139" s="4" t="s">
        <v>91</v>
      </c>
      <c r="H139" s="3" t="s">
        <v>478</v>
      </c>
      <c r="I139" s="3" t="s">
        <v>479</v>
      </c>
    </row>
    <row r="140" customFormat="false" ht="23.85" hidden="false" customHeight="false" outlineLevel="0" collapsed="false">
      <c r="A140" s="5" t="n">
        <v>38</v>
      </c>
      <c r="B140" s="6" t="s">
        <v>389</v>
      </c>
      <c r="C140" s="6" t="s">
        <v>480</v>
      </c>
      <c r="D140" s="6" t="s">
        <v>481</v>
      </c>
      <c r="E140" s="5" t="s">
        <v>296</v>
      </c>
      <c r="F140" s="6" t="s">
        <v>297</v>
      </c>
      <c r="G140" s="7" t="s">
        <v>34</v>
      </c>
      <c r="H140" s="6" t="s">
        <v>482</v>
      </c>
      <c r="I140" s="6" t="s">
        <v>429</v>
      </c>
    </row>
    <row r="141" customFormat="false" ht="23.85" hidden="false" customHeight="false" outlineLevel="0" collapsed="false">
      <c r="A141" s="5" t="n">
        <v>38</v>
      </c>
      <c r="B141" s="6" t="s">
        <v>389</v>
      </c>
      <c r="C141" s="6" t="s">
        <v>480</v>
      </c>
      <c r="D141" s="6" t="s">
        <v>481</v>
      </c>
      <c r="E141" s="5" t="s">
        <v>296</v>
      </c>
      <c r="F141" s="6" t="s">
        <v>297</v>
      </c>
      <c r="G141" s="7" t="s">
        <v>303</v>
      </c>
      <c r="H141" s="6" t="s">
        <v>483</v>
      </c>
      <c r="I141" s="6" t="s">
        <v>429</v>
      </c>
    </row>
    <row r="142" customFormat="false" ht="23.85" hidden="false" customHeight="false" outlineLevel="0" collapsed="false">
      <c r="A142" s="5" t="n">
        <v>38</v>
      </c>
      <c r="B142" s="6" t="s">
        <v>389</v>
      </c>
      <c r="C142" s="6" t="s">
        <v>480</v>
      </c>
      <c r="D142" s="6" t="s">
        <v>481</v>
      </c>
      <c r="E142" s="5" t="s">
        <v>296</v>
      </c>
      <c r="F142" s="6" t="s">
        <v>297</v>
      </c>
      <c r="G142" s="7" t="s">
        <v>91</v>
      </c>
      <c r="H142" s="6" t="s">
        <v>484</v>
      </c>
      <c r="I142" s="6" t="s">
        <v>485</v>
      </c>
    </row>
    <row r="143" customFormat="false" ht="23.85" hidden="false" customHeight="false" outlineLevel="0" collapsed="false">
      <c r="A143" s="5" t="n">
        <v>38</v>
      </c>
      <c r="B143" s="6" t="s">
        <v>389</v>
      </c>
      <c r="C143" s="6" t="s">
        <v>480</v>
      </c>
      <c r="D143" s="6" t="s">
        <v>481</v>
      </c>
      <c r="E143" s="5" t="s">
        <v>340</v>
      </c>
      <c r="F143" s="6" t="s">
        <v>341</v>
      </c>
      <c r="G143" s="7" t="s">
        <v>467</v>
      </c>
      <c r="H143" s="6" t="s">
        <v>486</v>
      </c>
      <c r="I143" s="6" t="s">
        <v>487</v>
      </c>
    </row>
    <row r="144" customFormat="false" ht="23.85" hidden="false" customHeight="false" outlineLevel="0" collapsed="false">
      <c r="A144" s="5" t="n">
        <v>38</v>
      </c>
      <c r="B144" s="6" t="s">
        <v>389</v>
      </c>
      <c r="C144" s="6" t="s">
        <v>480</v>
      </c>
      <c r="D144" s="6" t="s">
        <v>481</v>
      </c>
      <c r="E144" s="5" t="s">
        <v>17</v>
      </c>
      <c r="F144" s="6" t="s">
        <v>18</v>
      </c>
      <c r="G144" s="7" t="s">
        <v>143</v>
      </c>
      <c r="H144" s="6" t="s">
        <v>488</v>
      </c>
      <c r="I144" s="6" t="s">
        <v>489</v>
      </c>
    </row>
    <row r="145" customFormat="false" ht="23.85" hidden="false" customHeight="false" outlineLevel="0" collapsed="false">
      <c r="A145" s="2" t="n">
        <v>39</v>
      </c>
      <c r="B145" s="3" t="s">
        <v>389</v>
      </c>
      <c r="C145" s="3" t="s">
        <v>490</v>
      </c>
      <c r="D145" s="3" t="s">
        <v>391</v>
      </c>
      <c r="E145" s="2" t="s">
        <v>296</v>
      </c>
      <c r="F145" s="3" t="s">
        <v>297</v>
      </c>
      <c r="G145" s="4" t="s">
        <v>491</v>
      </c>
      <c r="H145" s="3" t="s">
        <v>492</v>
      </c>
      <c r="I145" s="3" t="s">
        <v>493</v>
      </c>
    </row>
    <row r="146" customFormat="false" ht="23.85" hidden="false" customHeight="false" outlineLevel="0" collapsed="false">
      <c r="A146" s="2" t="n">
        <v>39</v>
      </c>
      <c r="B146" s="3" t="s">
        <v>389</v>
      </c>
      <c r="C146" s="3" t="s">
        <v>490</v>
      </c>
      <c r="D146" s="3" t="s">
        <v>391</v>
      </c>
      <c r="E146" s="2" t="s">
        <v>296</v>
      </c>
      <c r="F146" s="3" t="s">
        <v>297</v>
      </c>
      <c r="G146" s="4" t="s">
        <v>91</v>
      </c>
      <c r="H146" s="3" t="s">
        <v>494</v>
      </c>
      <c r="I146" s="3" t="s">
        <v>495</v>
      </c>
    </row>
    <row r="147" customFormat="false" ht="23.85" hidden="false" customHeight="false" outlineLevel="0" collapsed="false">
      <c r="A147" s="2" t="n">
        <v>39</v>
      </c>
      <c r="B147" s="3" t="s">
        <v>389</v>
      </c>
      <c r="C147" s="3" t="s">
        <v>490</v>
      </c>
      <c r="D147" s="3" t="s">
        <v>391</v>
      </c>
      <c r="E147" s="2" t="s">
        <v>22</v>
      </c>
      <c r="F147" s="3" t="s">
        <v>23</v>
      </c>
      <c r="G147" s="4" t="s">
        <v>329</v>
      </c>
      <c r="H147" s="3" t="s">
        <v>496</v>
      </c>
      <c r="I147" s="3" t="s">
        <v>497</v>
      </c>
    </row>
    <row r="148" customFormat="false" ht="23.85" hidden="false" customHeight="false" outlineLevel="0" collapsed="false">
      <c r="A148" s="2" t="n">
        <v>39</v>
      </c>
      <c r="B148" s="3" t="s">
        <v>389</v>
      </c>
      <c r="C148" s="3" t="s">
        <v>490</v>
      </c>
      <c r="D148" s="3" t="s">
        <v>391</v>
      </c>
      <c r="E148" s="2" t="s">
        <v>17</v>
      </c>
      <c r="F148" s="3" t="s">
        <v>18</v>
      </c>
      <c r="G148" s="4" t="s">
        <v>399</v>
      </c>
      <c r="H148" s="3" t="s">
        <v>498</v>
      </c>
      <c r="I148" s="3" t="s">
        <v>499</v>
      </c>
    </row>
    <row r="149" customFormat="false" ht="23.85" hidden="false" customHeight="false" outlineLevel="0" collapsed="false">
      <c r="A149" s="5" t="n">
        <v>40</v>
      </c>
      <c r="B149" s="6" t="s">
        <v>389</v>
      </c>
      <c r="C149" s="6" t="s">
        <v>500</v>
      </c>
      <c r="D149" s="6" t="s">
        <v>501</v>
      </c>
      <c r="E149" s="5" t="s">
        <v>296</v>
      </c>
      <c r="F149" s="6" t="s">
        <v>297</v>
      </c>
      <c r="G149" s="7" t="s">
        <v>502</v>
      </c>
      <c r="H149" s="6" t="s">
        <v>503</v>
      </c>
      <c r="I149" s="6" t="s">
        <v>429</v>
      </c>
    </row>
    <row r="150" customFormat="false" ht="23.85" hidden="false" customHeight="false" outlineLevel="0" collapsed="false">
      <c r="A150" s="5" t="n">
        <v>40</v>
      </c>
      <c r="B150" s="6" t="s">
        <v>389</v>
      </c>
      <c r="C150" s="6" t="s">
        <v>500</v>
      </c>
      <c r="D150" s="6" t="s">
        <v>501</v>
      </c>
      <c r="E150" s="5" t="s">
        <v>296</v>
      </c>
      <c r="F150" s="6" t="s">
        <v>297</v>
      </c>
      <c r="G150" s="7" t="s">
        <v>298</v>
      </c>
      <c r="H150" s="6" t="s">
        <v>504</v>
      </c>
      <c r="I150" s="6" t="s">
        <v>429</v>
      </c>
    </row>
    <row r="151" customFormat="false" ht="23.85" hidden="false" customHeight="false" outlineLevel="0" collapsed="false">
      <c r="A151" s="5" t="n">
        <v>40</v>
      </c>
      <c r="B151" s="6" t="s">
        <v>389</v>
      </c>
      <c r="C151" s="6" t="s">
        <v>500</v>
      </c>
      <c r="D151" s="6" t="s">
        <v>501</v>
      </c>
      <c r="E151" s="5" t="s">
        <v>296</v>
      </c>
      <c r="F151" s="6" t="s">
        <v>297</v>
      </c>
      <c r="G151" s="7" t="s">
        <v>285</v>
      </c>
      <c r="H151" s="6" t="s">
        <v>505</v>
      </c>
      <c r="I151" s="6" t="s">
        <v>506</v>
      </c>
    </row>
    <row r="152" customFormat="false" ht="23.85" hidden="false" customHeight="false" outlineLevel="0" collapsed="false">
      <c r="A152" s="5" t="n">
        <v>40</v>
      </c>
      <c r="B152" s="6" t="s">
        <v>389</v>
      </c>
      <c r="C152" s="6" t="s">
        <v>500</v>
      </c>
      <c r="D152" s="6" t="s">
        <v>501</v>
      </c>
      <c r="E152" s="5" t="s">
        <v>340</v>
      </c>
      <c r="F152" s="6" t="s">
        <v>341</v>
      </c>
      <c r="G152" s="7" t="s">
        <v>88</v>
      </c>
      <c r="H152" s="6" t="s">
        <v>507</v>
      </c>
      <c r="I152" s="6" t="s">
        <v>508</v>
      </c>
    </row>
    <row r="153" customFormat="false" ht="23.85" hidden="false" customHeight="false" outlineLevel="0" collapsed="false">
      <c r="A153" s="5" t="n">
        <v>40</v>
      </c>
      <c r="B153" s="6" t="s">
        <v>389</v>
      </c>
      <c r="C153" s="6" t="s">
        <v>500</v>
      </c>
      <c r="D153" s="6" t="s">
        <v>501</v>
      </c>
      <c r="E153" s="5" t="s">
        <v>22</v>
      </c>
      <c r="F153" s="6" t="s">
        <v>23</v>
      </c>
      <c r="G153" s="7" t="s">
        <v>120</v>
      </c>
      <c r="H153" s="6" t="s">
        <v>509</v>
      </c>
      <c r="I153" s="6" t="s">
        <v>510</v>
      </c>
    </row>
    <row r="154" customFormat="false" ht="57.45" hidden="false" customHeight="false" outlineLevel="0" collapsed="false">
      <c r="A154" s="2" t="n">
        <v>41</v>
      </c>
      <c r="B154" s="3" t="s">
        <v>511</v>
      </c>
      <c r="C154" s="3" t="s">
        <v>512</v>
      </c>
      <c r="D154" s="3" t="s">
        <v>513</v>
      </c>
      <c r="E154" s="2" t="s">
        <v>514</v>
      </c>
      <c r="F154" s="3" t="s">
        <v>515</v>
      </c>
      <c r="G154" s="4" t="s">
        <v>516</v>
      </c>
      <c r="H154" s="3" t="s">
        <v>517</v>
      </c>
      <c r="I154" s="3" t="s">
        <v>518</v>
      </c>
    </row>
    <row r="155" customFormat="false" ht="57.45" hidden="false" customHeight="false" outlineLevel="0" collapsed="false">
      <c r="A155" s="2" t="n">
        <v>41</v>
      </c>
      <c r="B155" s="3" t="s">
        <v>511</v>
      </c>
      <c r="C155" s="3" t="s">
        <v>512</v>
      </c>
      <c r="D155" s="3" t="s">
        <v>513</v>
      </c>
      <c r="E155" s="2" t="s">
        <v>514</v>
      </c>
      <c r="F155" s="3" t="s">
        <v>515</v>
      </c>
      <c r="G155" s="4" t="s">
        <v>519</v>
      </c>
      <c r="H155" s="3" t="s">
        <v>520</v>
      </c>
      <c r="I155" s="3" t="s">
        <v>521</v>
      </c>
    </row>
    <row r="156" customFormat="false" ht="57.45" hidden="false" customHeight="false" outlineLevel="0" collapsed="false">
      <c r="A156" s="2" t="n">
        <v>41</v>
      </c>
      <c r="B156" s="3" t="s">
        <v>511</v>
      </c>
      <c r="C156" s="3" t="s">
        <v>512</v>
      </c>
      <c r="D156" s="3" t="s">
        <v>513</v>
      </c>
      <c r="E156" s="2" t="s">
        <v>514</v>
      </c>
      <c r="F156" s="3" t="s">
        <v>515</v>
      </c>
      <c r="G156" s="4" t="s">
        <v>522</v>
      </c>
      <c r="H156" s="3" t="s">
        <v>523</v>
      </c>
      <c r="I156" s="3" t="s">
        <v>524</v>
      </c>
    </row>
    <row r="157" customFormat="false" ht="57.45" hidden="false" customHeight="false" outlineLevel="0" collapsed="false">
      <c r="A157" s="2" t="n">
        <v>41</v>
      </c>
      <c r="B157" s="3" t="s">
        <v>511</v>
      </c>
      <c r="C157" s="3" t="s">
        <v>512</v>
      </c>
      <c r="D157" s="3" t="s">
        <v>513</v>
      </c>
      <c r="E157" s="2" t="s">
        <v>22</v>
      </c>
      <c r="F157" s="3" t="s">
        <v>23</v>
      </c>
      <c r="G157" s="4" t="s">
        <v>525</v>
      </c>
      <c r="H157" s="3" t="s">
        <v>526</v>
      </c>
      <c r="I157" s="3" t="s">
        <v>527</v>
      </c>
    </row>
    <row r="158" customFormat="false" ht="57.45" hidden="false" customHeight="false" outlineLevel="0" collapsed="false">
      <c r="A158" s="5" t="n">
        <v>42</v>
      </c>
      <c r="B158" s="6" t="s">
        <v>511</v>
      </c>
      <c r="C158" s="6" t="s">
        <v>528</v>
      </c>
      <c r="D158" s="6" t="s">
        <v>529</v>
      </c>
      <c r="E158" s="5" t="s">
        <v>514</v>
      </c>
      <c r="F158" s="6" t="s">
        <v>515</v>
      </c>
      <c r="G158" s="7" t="s">
        <v>530</v>
      </c>
      <c r="H158" s="6" t="s">
        <v>531</v>
      </c>
      <c r="I158" s="6" t="s">
        <v>532</v>
      </c>
    </row>
    <row r="159" customFormat="false" ht="57.45" hidden="false" customHeight="false" outlineLevel="0" collapsed="false">
      <c r="A159" s="5" t="n">
        <v>42</v>
      </c>
      <c r="B159" s="6" t="s">
        <v>511</v>
      </c>
      <c r="C159" s="6" t="s">
        <v>528</v>
      </c>
      <c r="D159" s="6" t="s">
        <v>529</v>
      </c>
      <c r="E159" s="5" t="s">
        <v>533</v>
      </c>
      <c r="F159" s="6" t="s">
        <v>534</v>
      </c>
      <c r="G159" s="7" t="s">
        <v>355</v>
      </c>
      <c r="H159" s="6" t="s">
        <v>535</v>
      </c>
      <c r="I159" s="6" t="s">
        <v>536</v>
      </c>
    </row>
    <row r="160" customFormat="false" ht="57.45" hidden="false" customHeight="false" outlineLevel="0" collapsed="false">
      <c r="A160" s="5" t="n">
        <v>42</v>
      </c>
      <c r="B160" s="6" t="s">
        <v>511</v>
      </c>
      <c r="C160" s="6" t="s">
        <v>528</v>
      </c>
      <c r="D160" s="6" t="s">
        <v>529</v>
      </c>
      <c r="E160" s="5" t="s">
        <v>22</v>
      </c>
      <c r="F160" s="6" t="s">
        <v>23</v>
      </c>
      <c r="G160" s="7" t="s">
        <v>537</v>
      </c>
      <c r="H160" s="6" t="s">
        <v>538</v>
      </c>
      <c r="I160" s="6" t="s">
        <v>539</v>
      </c>
    </row>
    <row r="161" customFormat="false" ht="57.45" hidden="false" customHeight="false" outlineLevel="0" collapsed="false">
      <c r="A161" s="2" t="n">
        <v>43</v>
      </c>
      <c r="B161" s="3" t="s">
        <v>511</v>
      </c>
      <c r="C161" s="3" t="s">
        <v>540</v>
      </c>
      <c r="D161" s="3" t="s">
        <v>541</v>
      </c>
      <c r="E161" s="2" t="s">
        <v>533</v>
      </c>
      <c r="F161" s="3" t="s">
        <v>534</v>
      </c>
      <c r="G161" s="4" t="s">
        <v>542</v>
      </c>
      <c r="H161" s="3" t="s">
        <v>543</v>
      </c>
      <c r="I161" s="3" t="s">
        <v>544</v>
      </c>
    </row>
    <row r="162" customFormat="false" ht="57.45" hidden="false" customHeight="false" outlineLevel="0" collapsed="false">
      <c r="A162" s="2" t="n">
        <v>43</v>
      </c>
      <c r="B162" s="3" t="s">
        <v>511</v>
      </c>
      <c r="C162" s="3" t="s">
        <v>540</v>
      </c>
      <c r="D162" s="3" t="s">
        <v>541</v>
      </c>
      <c r="E162" s="2" t="s">
        <v>514</v>
      </c>
      <c r="F162" s="3" t="s">
        <v>515</v>
      </c>
      <c r="G162" s="4" t="s">
        <v>545</v>
      </c>
      <c r="H162" s="3" t="s">
        <v>546</v>
      </c>
      <c r="I162" s="3" t="s">
        <v>547</v>
      </c>
    </row>
    <row r="163" customFormat="false" ht="57.45" hidden="false" customHeight="false" outlineLevel="0" collapsed="false">
      <c r="A163" s="2" t="n">
        <v>43</v>
      </c>
      <c r="B163" s="3" t="s">
        <v>511</v>
      </c>
      <c r="C163" s="3" t="s">
        <v>540</v>
      </c>
      <c r="D163" s="3" t="s">
        <v>541</v>
      </c>
      <c r="E163" s="2" t="s">
        <v>514</v>
      </c>
      <c r="F163" s="3" t="s">
        <v>515</v>
      </c>
      <c r="G163" s="4" t="s">
        <v>548</v>
      </c>
      <c r="H163" s="3" t="s">
        <v>549</v>
      </c>
      <c r="I163" s="3" t="s">
        <v>550</v>
      </c>
    </row>
    <row r="164" customFormat="false" ht="57.45" hidden="false" customHeight="false" outlineLevel="0" collapsed="false">
      <c r="A164" s="2" t="n">
        <v>43</v>
      </c>
      <c r="B164" s="3" t="s">
        <v>511</v>
      </c>
      <c r="C164" s="3" t="s">
        <v>540</v>
      </c>
      <c r="D164" s="3" t="s">
        <v>541</v>
      </c>
      <c r="E164" s="2" t="s">
        <v>514</v>
      </c>
      <c r="F164" s="3" t="s">
        <v>515</v>
      </c>
      <c r="G164" s="4" t="s">
        <v>551</v>
      </c>
      <c r="H164" s="3" t="s">
        <v>552</v>
      </c>
      <c r="I164" s="3" t="s">
        <v>553</v>
      </c>
    </row>
    <row r="165" customFormat="false" ht="57.45" hidden="false" customHeight="false" outlineLevel="0" collapsed="false">
      <c r="A165" s="2" t="n">
        <v>43</v>
      </c>
      <c r="B165" s="3" t="s">
        <v>511</v>
      </c>
      <c r="C165" s="3" t="s">
        <v>540</v>
      </c>
      <c r="D165" s="3" t="s">
        <v>541</v>
      </c>
      <c r="E165" s="2" t="s">
        <v>22</v>
      </c>
      <c r="F165" s="3" t="s">
        <v>23</v>
      </c>
      <c r="G165" s="4" t="s">
        <v>513</v>
      </c>
      <c r="H165" s="3" t="s">
        <v>554</v>
      </c>
      <c r="I165" s="3" t="s">
        <v>555</v>
      </c>
    </row>
    <row r="166" customFormat="false" ht="46.25" hidden="false" customHeight="false" outlineLevel="0" collapsed="false">
      <c r="A166" s="5" t="n">
        <v>44</v>
      </c>
      <c r="B166" s="6" t="s">
        <v>511</v>
      </c>
      <c r="C166" s="6" t="s">
        <v>556</v>
      </c>
      <c r="D166" s="6" t="s">
        <v>11</v>
      </c>
      <c r="E166" s="5" t="s">
        <v>514</v>
      </c>
      <c r="F166" s="6" t="s">
        <v>515</v>
      </c>
      <c r="G166" s="7" t="s">
        <v>45</v>
      </c>
      <c r="H166" s="6" t="s">
        <v>557</v>
      </c>
      <c r="I166" s="6" t="s">
        <v>558</v>
      </c>
    </row>
    <row r="167" customFormat="false" ht="46.25" hidden="false" customHeight="false" outlineLevel="0" collapsed="false">
      <c r="A167" s="5" t="n">
        <v>44</v>
      </c>
      <c r="B167" s="6" t="s">
        <v>511</v>
      </c>
      <c r="C167" s="6" t="s">
        <v>556</v>
      </c>
      <c r="D167" s="6" t="s">
        <v>11</v>
      </c>
      <c r="E167" s="5" t="s">
        <v>514</v>
      </c>
      <c r="F167" s="6" t="s">
        <v>515</v>
      </c>
      <c r="G167" s="7" t="s">
        <v>559</v>
      </c>
      <c r="H167" s="6" t="s">
        <v>560</v>
      </c>
      <c r="I167" s="6" t="s">
        <v>561</v>
      </c>
    </row>
    <row r="168" customFormat="false" ht="46.25" hidden="false" customHeight="false" outlineLevel="0" collapsed="false">
      <c r="A168" s="5" t="n">
        <v>44</v>
      </c>
      <c r="B168" s="6" t="s">
        <v>511</v>
      </c>
      <c r="C168" s="6" t="s">
        <v>556</v>
      </c>
      <c r="D168" s="6" t="s">
        <v>11</v>
      </c>
      <c r="E168" s="5" t="s">
        <v>296</v>
      </c>
      <c r="F168" s="6" t="s">
        <v>297</v>
      </c>
      <c r="G168" s="7" t="s">
        <v>562</v>
      </c>
      <c r="H168" s="6" t="s">
        <v>563</v>
      </c>
      <c r="I168" s="6" t="s">
        <v>564</v>
      </c>
    </row>
    <row r="169" customFormat="false" ht="46.25" hidden="false" customHeight="false" outlineLevel="0" collapsed="false">
      <c r="A169" s="5" t="n">
        <v>44</v>
      </c>
      <c r="B169" s="6" t="s">
        <v>511</v>
      </c>
      <c r="C169" s="6" t="s">
        <v>556</v>
      </c>
      <c r="D169" s="6" t="s">
        <v>11</v>
      </c>
      <c r="E169" s="5" t="s">
        <v>22</v>
      </c>
      <c r="F169" s="6" t="s">
        <v>23</v>
      </c>
      <c r="G169" s="7" t="s">
        <v>140</v>
      </c>
      <c r="H169" s="6" t="s">
        <v>565</v>
      </c>
      <c r="I169" s="6" t="s">
        <v>566</v>
      </c>
    </row>
    <row r="170" customFormat="false" ht="46.25" hidden="false" customHeight="false" outlineLevel="0" collapsed="false">
      <c r="A170" s="2" t="n">
        <v>45</v>
      </c>
      <c r="B170" s="3" t="s">
        <v>511</v>
      </c>
      <c r="C170" s="3" t="s">
        <v>567</v>
      </c>
      <c r="D170" s="3" t="s">
        <v>568</v>
      </c>
      <c r="E170" s="2" t="s">
        <v>514</v>
      </c>
      <c r="F170" s="3" t="s">
        <v>515</v>
      </c>
      <c r="G170" s="4" t="s">
        <v>569</v>
      </c>
      <c r="H170" s="3" t="s">
        <v>570</v>
      </c>
      <c r="I170" s="3" t="s">
        <v>571</v>
      </c>
    </row>
    <row r="171" customFormat="false" ht="46.25" hidden="false" customHeight="false" outlineLevel="0" collapsed="false">
      <c r="A171" s="2" t="n">
        <v>45</v>
      </c>
      <c r="B171" s="3" t="s">
        <v>511</v>
      </c>
      <c r="C171" s="3" t="s">
        <v>567</v>
      </c>
      <c r="D171" s="3" t="s">
        <v>568</v>
      </c>
      <c r="E171" s="2" t="s">
        <v>514</v>
      </c>
      <c r="F171" s="3" t="s">
        <v>515</v>
      </c>
      <c r="G171" s="4" t="s">
        <v>572</v>
      </c>
      <c r="H171" s="3" t="s">
        <v>573</v>
      </c>
      <c r="I171" s="3" t="s">
        <v>574</v>
      </c>
    </row>
    <row r="172" customFormat="false" ht="46.25" hidden="false" customHeight="false" outlineLevel="0" collapsed="false">
      <c r="A172" s="2" t="n">
        <v>45</v>
      </c>
      <c r="B172" s="3" t="s">
        <v>511</v>
      </c>
      <c r="C172" s="3" t="s">
        <v>567</v>
      </c>
      <c r="D172" s="3" t="s">
        <v>568</v>
      </c>
      <c r="E172" s="2" t="s">
        <v>514</v>
      </c>
      <c r="F172" s="3" t="s">
        <v>515</v>
      </c>
      <c r="G172" s="4" t="s">
        <v>575</v>
      </c>
      <c r="H172" s="3" t="s">
        <v>576</v>
      </c>
      <c r="I172" s="3" t="s">
        <v>577</v>
      </c>
    </row>
    <row r="173" customFormat="false" ht="46.25" hidden="false" customHeight="false" outlineLevel="0" collapsed="false">
      <c r="A173" s="2" t="n">
        <v>45</v>
      </c>
      <c r="B173" s="3" t="s">
        <v>511</v>
      </c>
      <c r="C173" s="3" t="s">
        <v>567</v>
      </c>
      <c r="D173" s="3" t="s">
        <v>568</v>
      </c>
      <c r="E173" s="2" t="s">
        <v>22</v>
      </c>
      <c r="F173" s="3" t="s">
        <v>23</v>
      </c>
      <c r="G173" s="4" t="s">
        <v>545</v>
      </c>
      <c r="H173" s="3" t="s">
        <v>578</v>
      </c>
      <c r="I173" s="3" t="s">
        <v>579</v>
      </c>
    </row>
    <row r="174" customFormat="false" ht="46.25" hidden="false" customHeight="false" outlineLevel="0" collapsed="false">
      <c r="A174" s="2" t="n">
        <v>45</v>
      </c>
      <c r="B174" s="3" t="s">
        <v>511</v>
      </c>
      <c r="C174" s="3" t="s">
        <v>567</v>
      </c>
      <c r="D174" s="3" t="s">
        <v>568</v>
      </c>
      <c r="E174" s="2" t="s">
        <v>17</v>
      </c>
      <c r="F174" s="3" t="s">
        <v>18</v>
      </c>
      <c r="G174" s="4" t="s">
        <v>580</v>
      </c>
      <c r="H174" s="3" t="s">
        <v>581</v>
      </c>
      <c r="I174" s="3" t="s">
        <v>582</v>
      </c>
    </row>
    <row r="175" customFormat="false" ht="46.25" hidden="false" customHeight="false" outlineLevel="0" collapsed="false">
      <c r="A175" s="5" t="n">
        <v>46</v>
      </c>
      <c r="B175" s="6" t="s">
        <v>511</v>
      </c>
      <c r="C175" s="6" t="s">
        <v>583</v>
      </c>
      <c r="D175" s="6" t="s">
        <v>584</v>
      </c>
      <c r="E175" s="5" t="s">
        <v>514</v>
      </c>
      <c r="F175" s="6" t="s">
        <v>515</v>
      </c>
      <c r="G175" s="7" t="s">
        <v>123</v>
      </c>
      <c r="H175" s="6" t="s">
        <v>585</v>
      </c>
      <c r="I175" s="6" t="s">
        <v>586</v>
      </c>
    </row>
    <row r="176" customFormat="false" ht="46.25" hidden="false" customHeight="false" outlineLevel="0" collapsed="false">
      <c r="A176" s="5" t="n">
        <v>46</v>
      </c>
      <c r="B176" s="6" t="s">
        <v>511</v>
      </c>
      <c r="C176" s="6" t="s">
        <v>583</v>
      </c>
      <c r="D176" s="6" t="s">
        <v>584</v>
      </c>
      <c r="E176" s="5" t="s">
        <v>533</v>
      </c>
      <c r="F176" s="6" t="s">
        <v>534</v>
      </c>
      <c r="G176" s="7" t="s">
        <v>587</v>
      </c>
      <c r="H176" s="6" t="s">
        <v>588</v>
      </c>
      <c r="I176" s="6" t="s">
        <v>589</v>
      </c>
    </row>
    <row r="177" customFormat="false" ht="46.25" hidden="false" customHeight="false" outlineLevel="0" collapsed="false">
      <c r="A177" s="5" t="n">
        <v>46</v>
      </c>
      <c r="B177" s="6" t="s">
        <v>511</v>
      </c>
      <c r="C177" s="6" t="s">
        <v>583</v>
      </c>
      <c r="D177" s="6" t="s">
        <v>584</v>
      </c>
      <c r="E177" s="5" t="s">
        <v>22</v>
      </c>
      <c r="F177" s="6" t="s">
        <v>23</v>
      </c>
      <c r="G177" s="7" t="s">
        <v>590</v>
      </c>
      <c r="H177" s="6" t="s">
        <v>591</v>
      </c>
      <c r="I177" s="6" t="s">
        <v>592</v>
      </c>
    </row>
    <row r="178" customFormat="false" ht="46.25" hidden="false" customHeight="false" outlineLevel="0" collapsed="false">
      <c r="A178" s="5" t="n">
        <v>46</v>
      </c>
      <c r="B178" s="6" t="s">
        <v>511</v>
      </c>
      <c r="C178" s="6" t="s">
        <v>583</v>
      </c>
      <c r="D178" s="6" t="s">
        <v>584</v>
      </c>
      <c r="E178" s="5" t="s">
        <v>17</v>
      </c>
      <c r="F178" s="6" t="s">
        <v>18</v>
      </c>
      <c r="G178" s="7" t="s">
        <v>593</v>
      </c>
      <c r="H178" s="6" t="s">
        <v>594</v>
      </c>
      <c r="I178" s="6" t="s">
        <v>595</v>
      </c>
    </row>
    <row r="179" customFormat="false" ht="57.45" hidden="false" customHeight="false" outlineLevel="0" collapsed="false">
      <c r="A179" s="2" t="n">
        <v>47</v>
      </c>
      <c r="B179" s="3" t="s">
        <v>511</v>
      </c>
      <c r="C179" s="3" t="s">
        <v>596</v>
      </c>
      <c r="D179" s="3" t="s">
        <v>597</v>
      </c>
      <c r="E179" s="2" t="s">
        <v>533</v>
      </c>
      <c r="F179" s="3" t="s">
        <v>534</v>
      </c>
      <c r="G179" s="4" t="s">
        <v>598</v>
      </c>
      <c r="H179" s="3" t="s">
        <v>599</v>
      </c>
      <c r="I179" s="3" t="s">
        <v>600</v>
      </c>
    </row>
    <row r="180" customFormat="false" ht="57.45" hidden="false" customHeight="false" outlineLevel="0" collapsed="false">
      <c r="A180" s="2" t="n">
        <v>47</v>
      </c>
      <c r="B180" s="3" t="s">
        <v>511</v>
      </c>
      <c r="C180" s="3" t="s">
        <v>596</v>
      </c>
      <c r="D180" s="3" t="s">
        <v>597</v>
      </c>
      <c r="E180" s="2" t="s">
        <v>514</v>
      </c>
      <c r="F180" s="3" t="s">
        <v>515</v>
      </c>
      <c r="G180" s="4" t="s">
        <v>34</v>
      </c>
      <c r="H180" s="3" t="s">
        <v>601</v>
      </c>
      <c r="I180" s="3" t="s">
        <v>602</v>
      </c>
    </row>
    <row r="181" customFormat="false" ht="57.45" hidden="false" customHeight="false" outlineLevel="0" collapsed="false">
      <c r="A181" s="2" t="n">
        <v>47</v>
      </c>
      <c r="B181" s="3" t="s">
        <v>511</v>
      </c>
      <c r="C181" s="3" t="s">
        <v>596</v>
      </c>
      <c r="D181" s="3" t="s">
        <v>597</v>
      </c>
      <c r="E181" s="2" t="s">
        <v>514</v>
      </c>
      <c r="F181" s="3" t="s">
        <v>515</v>
      </c>
      <c r="G181" s="4" t="s">
        <v>603</v>
      </c>
      <c r="H181" s="3" t="s">
        <v>604</v>
      </c>
      <c r="I181" s="3" t="s">
        <v>605</v>
      </c>
    </row>
    <row r="182" customFormat="false" ht="57.45" hidden="false" customHeight="false" outlineLevel="0" collapsed="false">
      <c r="A182" s="2" t="n">
        <v>47</v>
      </c>
      <c r="B182" s="3" t="s">
        <v>511</v>
      </c>
      <c r="C182" s="3" t="s">
        <v>596</v>
      </c>
      <c r="D182" s="3" t="s">
        <v>597</v>
      </c>
      <c r="E182" s="2" t="s">
        <v>22</v>
      </c>
      <c r="F182" s="3" t="s">
        <v>23</v>
      </c>
      <c r="G182" s="4" t="s">
        <v>227</v>
      </c>
      <c r="H182" s="3" t="s">
        <v>606</v>
      </c>
      <c r="I182" s="3" t="s">
        <v>592</v>
      </c>
    </row>
    <row r="183" customFormat="false" ht="68.65" hidden="false" customHeight="false" outlineLevel="0" collapsed="false">
      <c r="A183" s="5" t="n">
        <v>48</v>
      </c>
      <c r="B183" s="6" t="s">
        <v>511</v>
      </c>
      <c r="C183" s="6" t="s">
        <v>607</v>
      </c>
      <c r="D183" s="6" t="s">
        <v>608</v>
      </c>
      <c r="E183" s="5" t="s">
        <v>533</v>
      </c>
      <c r="F183" s="6" t="s">
        <v>534</v>
      </c>
      <c r="G183" s="7" t="s">
        <v>525</v>
      </c>
      <c r="H183" s="6" t="s">
        <v>609</v>
      </c>
      <c r="I183" s="6" t="s">
        <v>610</v>
      </c>
    </row>
    <row r="184" customFormat="false" ht="68.65" hidden="false" customHeight="false" outlineLevel="0" collapsed="false">
      <c r="A184" s="5" t="n">
        <v>48</v>
      </c>
      <c r="B184" s="6" t="s">
        <v>511</v>
      </c>
      <c r="C184" s="6" t="s">
        <v>607</v>
      </c>
      <c r="D184" s="6" t="s">
        <v>608</v>
      </c>
      <c r="E184" s="5" t="s">
        <v>514</v>
      </c>
      <c r="F184" s="6" t="s">
        <v>515</v>
      </c>
      <c r="G184" s="7" t="s">
        <v>611</v>
      </c>
      <c r="H184" s="6" t="s">
        <v>612</v>
      </c>
      <c r="I184" s="6" t="s">
        <v>613</v>
      </c>
    </row>
    <row r="185" customFormat="false" ht="68.65" hidden="false" customHeight="false" outlineLevel="0" collapsed="false">
      <c r="A185" s="5" t="n">
        <v>48</v>
      </c>
      <c r="B185" s="6" t="s">
        <v>511</v>
      </c>
      <c r="C185" s="6" t="s">
        <v>607</v>
      </c>
      <c r="D185" s="6" t="s">
        <v>608</v>
      </c>
      <c r="E185" s="5" t="s">
        <v>22</v>
      </c>
      <c r="F185" s="6" t="s">
        <v>23</v>
      </c>
      <c r="G185" s="7" t="s">
        <v>614</v>
      </c>
      <c r="H185" s="6" t="s">
        <v>615</v>
      </c>
      <c r="I185" s="6" t="s">
        <v>592</v>
      </c>
    </row>
    <row r="186" customFormat="false" ht="68.65" hidden="false" customHeight="false" outlineLevel="0" collapsed="false">
      <c r="A186" s="5" t="n">
        <v>48</v>
      </c>
      <c r="B186" s="6" t="s">
        <v>511</v>
      </c>
      <c r="C186" s="6" t="s">
        <v>607</v>
      </c>
      <c r="D186" s="6" t="s">
        <v>608</v>
      </c>
      <c r="E186" s="5" t="s">
        <v>17</v>
      </c>
      <c r="F186" s="6" t="s">
        <v>18</v>
      </c>
      <c r="G186" s="7" t="s">
        <v>616</v>
      </c>
      <c r="H186" s="6" t="s">
        <v>617</v>
      </c>
      <c r="I186" s="6" t="s">
        <v>618</v>
      </c>
    </row>
    <row r="187" customFormat="false" ht="46.25" hidden="false" customHeight="false" outlineLevel="0" collapsed="false">
      <c r="A187" s="2" t="n">
        <v>49</v>
      </c>
      <c r="B187" s="3" t="s">
        <v>511</v>
      </c>
      <c r="C187" s="3" t="s">
        <v>619</v>
      </c>
      <c r="D187" s="3" t="s">
        <v>620</v>
      </c>
      <c r="E187" s="2" t="s">
        <v>533</v>
      </c>
      <c r="F187" s="3" t="s">
        <v>534</v>
      </c>
      <c r="G187" s="4" t="s">
        <v>34</v>
      </c>
      <c r="H187" s="3" t="s">
        <v>621</v>
      </c>
      <c r="I187" s="3" t="s">
        <v>622</v>
      </c>
    </row>
    <row r="188" customFormat="false" ht="46.25" hidden="false" customHeight="false" outlineLevel="0" collapsed="false">
      <c r="A188" s="2" t="n">
        <v>49</v>
      </c>
      <c r="B188" s="3" t="s">
        <v>511</v>
      </c>
      <c r="C188" s="3" t="s">
        <v>619</v>
      </c>
      <c r="D188" s="3" t="s">
        <v>620</v>
      </c>
      <c r="E188" s="2" t="s">
        <v>514</v>
      </c>
      <c r="F188" s="3" t="s">
        <v>515</v>
      </c>
      <c r="G188" s="4" t="s">
        <v>623</v>
      </c>
      <c r="H188" s="3" t="s">
        <v>624</v>
      </c>
      <c r="I188" s="3" t="s">
        <v>625</v>
      </c>
    </row>
    <row r="189" customFormat="false" ht="46.25" hidden="false" customHeight="false" outlineLevel="0" collapsed="false">
      <c r="A189" s="2" t="n">
        <v>49</v>
      </c>
      <c r="B189" s="3" t="s">
        <v>511</v>
      </c>
      <c r="C189" s="3" t="s">
        <v>619</v>
      </c>
      <c r="D189" s="3" t="s">
        <v>620</v>
      </c>
      <c r="E189" s="2" t="s">
        <v>514</v>
      </c>
      <c r="F189" s="3" t="s">
        <v>515</v>
      </c>
      <c r="G189" s="4" t="s">
        <v>626</v>
      </c>
      <c r="H189" s="3" t="s">
        <v>627</v>
      </c>
      <c r="I189" s="3" t="s">
        <v>625</v>
      </c>
    </row>
    <row r="190" customFormat="false" ht="46.25" hidden="false" customHeight="false" outlineLevel="0" collapsed="false">
      <c r="A190" s="2" t="n">
        <v>49</v>
      </c>
      <c r="B190" s="3" t="s">
        <v>511</v>
      </c>
      <c r="C190" s="3" t="s">
        <v>619</v>
      </c>
      <c r="D190" s="3" t="s">
        <v>620</v>
      </c>
      <c r="E190" s="2" t="s">
        <v>514</v>
      </c>
      <c r="F190" s="3" t="s">
        <v>515</v>
      </c>
      <c r="G190" s="4" t="s">
        <v>628</v>
      </c>
      <c r="H190" s="3" t="s">
        <v>629</v>
      </c>
      <c r="I190" s="3" t="s">
        <v>630</v>
      </c>
    </row>
    <row r="191" customFormat="false" ht="46.25" hidden="false" customHeight="false" outlineLevel="0" collapsed="false">
      <c r="A191" s="2" t="n">
        <v>49</v>
      </c>
      <c r="B191" s="3" t="s">
        <v>511</v>
      </c>
      <c r="C191" s="3" t="s">
        <v>619</v>
      </c>
      <c r="D191" s="3" t="s">
        <v>620</v>
      </c>
      <c r="E191" s="2" t="s">
        <v>132</v>
      </c>
      <c r="F191" s="3" t="s">
        <v>133</v>
      </c>
      <c r="G191" s="4" t="s">
        <v>631</v>
      </c>
      <c r="H191" s="3" t="s">
        <v>632</v>
      </c>
      <c r="I191" s="3" t="s">
        <v>633</v>
      </c>
    </row>
    <row r="192" customFormat="false" ht="46.25" hidden="false" customHeight="false" outlineLevel="0" collapsed="false">
      <c r="A192" s="2" t="n">
        <v>49</v>
      </c>
      <c r="B192" s="3" t="s">
        <v>511</v>
      </c>
      <c r="C192" s="3" t="s">
        <v>619</v>
      </c>
      <c r="D192" s="3" t="s">
        <v>620</v>
      </c>
      <c r="E192" s="2" t="s">
        <v>78</v>
      </c>
      <c r="F192" s="3" t="s">
        <v>79</v>
      </c>
      <c r="G192" s="4" t="s">
        <v>634</v>
      </c>
      <c r="H192" s="3" t="s">
        <v>635</v>
      </c>
      <c r="I192" s="3" t="s">
        <v>636</v>
      </c>
    </row>
    <row r="193" customFormat="false" ht="46.25" hidden="false" customHeight="false" outlineLevel="0" collapsed="false">
      <c r="A193" s="5" t="n">
        <v>50</v>
      </c>
      <c r="B193" s="6" t="s">
        <v>511</v>
      </c>
      <c r="C193" s="6" t="s">
        <v>637</v>
      </c>
      <c r="D193" s="6" t="s">
        <v>638</v>
      </c>
      <c r="E193" s="5" t="s">
        <v>514</v>
      </c>
      <c r="F193" s="6" t="s">
        <v>515</v>
      </c>
      <c r="G193" s="7" t="s">
        <v>598</v>
      </c>
      <c r="H193" s="6" t="s">
        <v>639</v>
      </c>
      <c r="I193" s="6" t="s">
        <v>640</v>
      </c>
    </row>
    <row r="194" customFormat="false" ht="46.25" hidden="false" customHeight="false" outlineLevel="0" collapsed="false">
      <c r="A194" s="5" t="n">
        <v>50</v>
      </c>
      <c r="B194" s="6" t="s">
        <v>511</v>
      </c>
      <c r="C194" s="6" t="s">
        <v>637</v>
      </c>
      <c r="D194" s="6" t="s">
        <v>638</v>
      </c>
      <c r="E194" s="5" t="s">
        <v>22</v>
      </c>
      <c r="F194" s="6" t="s">
        <v>23</v>
      </c>
      <c r="G194" s="7" t="s">
        <v>628</v>
      </c>
      <c r="H194" s="6" t="s">
        <v>641</v>
      </c>
      <c r="I194" s="6" t="s">
        <v>642</v>
      </c>
    </row>
    <row r="195" customFormat="false" ht="46.25" hidden="false" customHeight="false" outlineLevel="0" collapsed="false">
      <c r="A195" s="5" t="n">
        <v>50</v>
      </c>
      <c r="B195" s="6" t="s">
        <v>511</v>
      </c>
      <c r="C195" s="6" t="s">
        <v>637</v>
      </c>
      <c r="D195" s="6" t="s">
        <v>638</v>
      </c>
      <c r="E195" s="5" t="s">
        <v>533</v>
      </c>
      <c r="F195" s="6" t="s">
        <v>534</v>
      </c>
      <c r="G195" s="7" t="s">
        <v>460</v>
      </c>
      <c r="H195" s="6" t="s">
        <v>643</v>
      </c>
      <c r="I195" s="6" t="s">
        <v>644</v>
      </c>
    </row>
    <row r="196" customFormat="false" ht="46.25" hidden="false" customHeight="false" outlineLevel="0" collapsed="false">
      <c r="A196" s="5" t="n">
        <v>50</v>
      </c>
      <c r="B196" s="6" t="s">
        <v>511</v>
      </c>
      <c r="C196" s="6" t="s">
        <v>637</v>
      </c>
      <c r="D196" s="6" t="s">
        <v>638</v>
      </c>
      <c r="E196" s="5" t="s">
        <v>17</v>
      </c>
      <c r="F196" s="6" t="s">
        <v>18</v>
      </c>
      <c r="G196" s="7" t="s">
        <v>645</v>
      </c>
      <c r="H196" s="6" t="s">
        <v>646</v>
      </c>
      <c r="I196" s="6" t="s">
        <v>647</v>
      </c>
    </row>
  </sheetData>
  <autoFilter ref="A1:I19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74"/>
    <col collapsed="false" customWidth="true" hidden="false" outlineLevel="0" max="4" min="4" style="0" width="14"/>
  </cols>
  <sheetData>
    <row r="1" customFormat="false" ht="31.5" hidden="false" customHeight="true" outlineLevel="0" collapsed="false">
      <c r="A1" s="1" t="s">
        <v>4</v>
      </c>
      <c r="B1" s="1" t="s">
        <v>5</v>
      </c>
      <c r="C1" s="1" t="s">
        <v>648</v>
      </c>
      <c r="D1" s="1" t="s">
        <v>649</v>
      </c>
    </row>
    <row r="2" customFormat="false" ht="23.85" hidden="false" customHeight="false" outlineLevel="0" collapsed="false">
      <c r="A2" s="8" t="s">
        <v>12</v>
      </c>
      <c r="B2" s="6" t="s">
        <v>13</v>
      </c>
      <c r="C2" s="6" t="s">
        <v>650</v>
      </c>
      <c r="D2" s="5" t="n">
        <f aca="false">COUNTIF('Feedback Bank'!$E$2:$E$196,A2)</f>
        <v>22</v>
      </c>
    </row>
    <row r="3" customFormat="false" ht="23.85" hidden="false" customHeight="false" outlineLevel="0" collapsed="false">
      <c r="A3" s="9" t="s">
        <v>32</v>
      </c>
      <c r="B3" s="3" t="s">
        <v>33</v>
      </c>
      <c r="C3" s="3" t="s">
        <v>651</v>
      </c>
      <c r="D3" s="2" t="n">
        <f aca="false">COUNTIF('Feedback Bank'!$E$2:$E$196,A3)</f>
        <v>22</v>
      </c>
    </row>
    <row r="4" customFormat="false" ht="15" hidden="false" customHeight="false" outlineLevel="0" collapsed="false">
      <c r="A4" s="8" t="s">
        <v>17</v>
      </c>
      <c r="B4" s="6" t="s">
        <v>18</v>
      </c>
      <c r="C4" s="6" t="s">
        <v>652</v>
      </c>
      <c r="D4" s="5" t="n">
        <f aca="false">COUNTIF('Feedback Bank'!$E$2:$E$196,A4)</f>
        <v>25</v>
      </c>
    </row>
    <row r="5" customFormat="false" ht="23.85" hidden="false" customHeight="false" outlineLevel="0" collapsed="false">
      <c r="A5" s="9" t="s">
        <v>132</v>
      </c>
      <c r="B5" s="3" t="s">
        <v>133</v>
      </c>
      <c r="C5" s="3" t="s">
        <v>653</v>
      </c>
      <c r="D5" s="2" t="n">
        <f aca="false">COUNTIF('Feedback Bank'!$E$2:$E$196,A5)</f>
        <v>19</v>
      </c>
    </row>
    <row r="6" customFormat="false" ht="15" hidden="false" customHeight="false" outlineLevel="0" collapsed="false">
      <c r="A6" s="8" t="s">
        <v>22</v>
      </c>
      <c r="B6" s="6" t="s">
        <v>23</v>
      </c>
      <c r="C6" s="6" t="s">
        <v>654</v>
      </c>
      <c r="D6" s="5" t="n">
        <f aca="false">COUNTIF('Feedback Bank'!$E$2:$E$196,A6)</f>
        <v>32</v>
      </c>
    </row>
    <row r="7" customFormat="false" ht="23.85" hidden="false" customHeight="false" outlineLevel="0" collapsed="false">
      <c r="A7" s="9" t="s">
        <v>78</v>
      </c>
      <c r="B7" s="3" t="s">
        <v>79</v>
      </c>
      <c r="C7" s="3" t="s">
        <v>655</v>
      </c>
      <c r="D7" s="2" t="n">
        <f aca="false">COUNTIF('Feedback Bank'!$E$2:$E$196,A7)</f>
        <v>7</v>
      </c>
    </row>
    <row r="8" customFormat="false" ht="15" hidden="false" customHeight="false" outlineLevel="0" collapsed="false">
      <c r="A8" s="8" t="s">
        <v>260</v>
      </c>
      <c r="B8" s="6" t="s">
        <v>261</v>
      </c>
      <c r="C8" s="6" t="s">
        <v>656</v>
      </c>
      <c r="D8" s="5" t="n">
        <f aca="false">COUNTIF('Feedback Bank'!$E$2:$E$196,A8)</f>
        <v>4</v>
      </c>
    </row>
    <row r="9" customFormat="false" ht="23.85" hidden="false" customHeight="false" outlineLevel="0" collapsed="false">
      <c r="A9" s="9" t="s">
        <v>296</v>
      </c>
      <c r="B9" s="3" t="s">
        <v>297</v>
      </c>
      <c r="C9" s="3" t="s">
        <v>657</v>
      </c>
      <c r="D9" s="2" t="n">
        <f aca="false">COUNTIF('Feedback Bank'!$E$2:$E$196,A9)</f>
        <v>16</v>
      </c>
    </row>
    <row r="10" customFormat="false" ht="15" hidden="false" customHeight="false" outlineLevel="0" collapsed="false">
      <c r="A10" s="8" t="s">
        <v>340</v>
      </c>
      <c r="B10" s="6" t="s">
        <v>341</v>
      </c>
      <c r="C10" s="6" t="s">
        <v>658</v>
      </c>
      <c r="D10" s="5" t="n">
        <f aca="false">COUNTIF('Feedback Bank'!$E$2:$E$196,A10)</f>
        <v>18</v>
      </c>
    </row>
    <row r="11" customFormat="false" ht="23.85" hidden="false" customHeight="false" outlineLevel="0" collapsed="false">
      <c r="A11" s="9" t="s">
        <v>345</v>
      </c>
      <c r="B11" s="3" t="s">
        <v>346</v>
      </c>
      <c r="C11" s="3" t="s">
        <v>659</v>
      </c>
      <c r="D11" s="2" t="n">
        <f aca="false">COUNTIF('Feedback Bank'!$E$2:$E$196,A11)</f>
        <v>3</v>
      </c>
    </row>
    <row r="12" customFormat="false" ht="23.85" hidden="false" customHeight="false" outlineLevel="0" collapsed="false">
      <c r="A12" s="8" t="s">
        <v>514</v>
      </c>
      <c r="B12" s="6" t="s">
        <v>515</v>
      </c>
      <c r="C12" s="6" t="s">
        <v>660</v>
      </c>
      <c r="D12" s="5" t="n">
        <f aca="false">COUNTIF('Feedback Bank'!$E$2:$E$196,A12)</f>
        <v>20</v>
      </c>
    </row>
    <row r="13" customFormat="false" ht="15" hidden="false" customHeight="false" outlineLevel="0" collapsed="false">
      <c r="A13" s="9" t="s">
        <v>533</v>
      </c>
      <c r="B13" s="3" t="s">
        <v>534</v>
      </c>
      <c r="C13" s="3" t="s">
        <v>661</v>
      </c>
      <c r="D13" s="2" t="n">
        <f aca="false">COUNTIF('Feedback Bank'!$E$2:$E$196,A13)</f>
        <v>7</v>
      </c>
    </row>
    <row r="14" customFormat="false" ht="15" hidden="false" customHeight="false" outlineLevel="0" collapsed="false">
      <c r="C14" s="10" t="s">
        <v>662</v>
      </c>
      <c r="D14" s="11" t="n">
        <f aca="false">SUM(D2:D13)</f>
        <v>195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90"/>
  </cols>
  <sheetData>
    <row r="1" customFormat="false" ht="27.75" hidden="false" customHeight="true" outlineLevel="0" collapsed="false">
      <c r="A1" s="1" t="s">
        <v>663</v>
      </c>
      <c r="B1" s="1" t="s">
        <v>664</v>
      </c>
    </row>
    <row r="2" customFormat="false" ht="15" hidden="false" customHeight="false" outlineLevel="0" collapsed="false">
      <c r="A2" s="6" t="s">
        <v>665</v>
      </c>
      <c r="B2" s="6" t="s">
        <v>666</v>
      </c>
    </row>
    <row r="3" customFormat="false" ht="23.85" hidden="false" customHeight="false" outlineLevel="0" collapsed="false">
      <c r="A3" s="3" t="s">
        <v>667</v>
      </c>
      <c r="B3" s="3" t="s">
        <v>668</v>
      </c>
    </row>
    <row r="4" customFormat="false" ht="23.85" hidden="false" customHeight="false" outlineLevel="0" collapsed="false">
      <c r="A4" s="12" t="s">
        <v>669</v>
      </c>
      <c r="B4" s="13" t="s">
        <v>670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0"/>
  </cols>
  <sheetData>
    <row r="1" customFormat="false" ht="15" hidden="false" customHeight="false" outlineLevel="0" collapsed="false">
      <c r="B1" s="14" t="s">
        <v>671</v>
      </c>
    </row>
    <row r="2" customFormat="false" ht="15" hidden="false" customHeight="false" outlineLevel="0" collapsed="false">
      <c r="B2" s="15" t="s">
        <v>672</v>
      </c>
    </row>
    <row r="3" customFormat="false" ht="23.85" hidden="false" customHeight="false" outlineLevel="0" collapsed="false">
      <c r="A3" s="16" t="s">
        <v>88</v>
      </c>
      <c r="B3" s="13" t="s">
        <v>673</v>
      </c>
    </row>
    <row r="4" customFormat="false" ht="15" hidden="false" customHeight="false" outlineLevel="0" collapsed="false">
      <c r="A4" s="16" t="s">
        <v>91</v>
      </c>
      <c r="B4" s="13" t="s">
        <v>674</v>
      </c>
    </row>
    <row r="5" customFormat="false" ht="15" hidden="false" customHeight="false" outlineLevel="0" collapsed="false">
      <c r="B5" s="15" t="s">
        <v>675</v>
      </c>
    </row>
    <row r="6" customFormat="false" ht="23.85" hidden="false" customHeight="false" outlineLevel="0" collapsed="false">
      <c r="A6" s="16" t="s">
        <v>285</v>
      </c>
      <c r="B6" s="13" t="s">
        <v>676</v>
      </c>
    </row>
    <row r="7" customFormat="false" ht="23.85" hidden="false" customHeight="false" outlineLevel="0" collapsed="false">
      <c r="A7" s="16" t="s">
        <v>303</v>
      </c>
      <c r="B7" s="13" t="s">
        <v>677</v>
      </c>
    </row>
    <row r="8" customFormat="false" ht="35.05" hidden="false" customHeight="false" outlineLevel="0" collapsed="false">
      <c r="A8" s="16" t="s">
        <v>34</v>
      </c>
      <c r="B8" s="13" t="s">
        <v>678</v>
      </c>
    </row>
    <row r="9" customFormat="false" ht="23.85" hidden="false" customHeight="false" outlineLevel="0" collapsed="false">
      <c r="A9" s="16" t="s">
        <v>109</v>
      </c>
      <c r="B9" s="13" t="s">
        <v>679</v>
      </c>
    </row>
    <row r="10" customFormat="false" ht="23.85" hidden="false" customHeight="false" outlineLevel="0" collapsed="false">
      <c r="A10" s="16" t="s">
        <v>42</v>
      </c>
      <c r="B10" s="13" t="s">
        <v>680</v>
      </c>
    </row>
    <row r="11" customFormat="false" ht="23.85" hidden="false" customHeight="false" outlineLevel="0" collapsed="false">
      <c r="A11" s="16" t="s">
        <v>181</v>
      </c>
      <c r="B11" s="13" t="s">
        <v>681</v>
      </c>
    </row>
    <row r="12" customFormat="false" ht="15" hidden="false" customHeight="false" outlineLevel="0" collapsed="false">
      <c r="B12" s="15" t="s">
        <v>682</v>
      </c>
    </row>
    <row r="13" customFormat="false" ht="23.85" hidden="false" customHeight="false" outlineLevel="0" collapsed="false">
      <c r="A13" s="16" t="s">
        <v>373</v>
      </c>
      <c r="B13" s="13" t="s">
        <v>683</v>
      </c>
    </row>
    <row r="14" customFormat="false" ht="23.85" hidden="false" customHeight="false" outlineLevel="0" collapsed="false">
      <c r="A14" s="16" t="s">
        <v>360</v>
      </c>
      <c r="B14" s="13" t="s">
        <v>684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2026-10-01T08:57:06Z</dcterms:created>
  <dc:creator>openpyxl</dc:creator>
  <dc:description/>
  <dc:language>en-US</dc:language>
  <cp:lastModifiedBy/>
  <dcterms:modified xsi:type="dcterms:W3CDTF">2026-10-01T08:57:06Z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