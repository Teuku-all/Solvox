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8_{02CB0B9E-EF00-4830-B1F2-0AFEC039A3A2}" xr6:coauthVersionLast="47" xr6:coauthVersionMax="47" xr10:uidLastSave="{00000000-0000-0000-0000-000000000000}"/>
  <bookViews>
    <workbookView xWindow="-108" yWindow="-108" windowWidth="23256" windowHeight="13896" tabRatio="500" xr2:uid="{00000000-000D-0000-FFFF-FFFF00000000}"/>
  </bookViews>
  <sheets>
    <sheet name="Bank Feedback" sheetId="1" r:id="rId1"/>
    <sheet name="Kode Kesalahan" sheetId="2" r:id="rId2"/>
    <sheet name="Feedback Cadangan" sheetId="3" r:id="rId3"/>
    <sheet name="Catatan" sheetId="4" r:id="rId4"/>
  </sheets>
  <definedNames>
    <definedName name="_xlnm._FilterDatabase" localSheetId="0" hidden="1">'Bank Feedback'!$A$1:$I$196</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3" i="2" l="1"/>
  <c r="D12" i="2"/>
  <c r="D11" i="2"/>
  <c r="D10" i="2"/>
  <c r="D9" i="2"/>
  <c r="D8" i="2"/>
  <c r="D7" i="2"/>
  <c r="D6" i="2"/>
  <c r="D5" i="2"/>
  <c r="D4" i="2"/>
  <c r="D3" i="2"/>
  <c r="D2" i="2"/>
  <c r="D14" i="2" s="1"/>
</calcChain>
</file>

<file path=xl/sharedStrings.xml><?xml version="1.0" encoding="utf-8"?>
<sst xmlns="http://schemas.openxmlformats.org/spreadsheetml/2006/main" count="1640" uniqueCount="685">
  <si>
    <t>No. Soal</t>
  </si>
  <si>
    <t>Chapter</t>
  </si>
  <si>
    <t>Soal</t>
  </si>
  <si>
    <t>Kunci Jawaban</t>
  </si>
  <si>
    <t>Kode</t>
  </si>
  <si>
    <t>Jenis Kesalahan</t>
  </si>
  <si>
    <t>Jawaban Salah yang Mungkin</t>
  </si>
  <si>
    <t>Dugaan Cara Berpikir Siswa</t>
  </si>
  <si>
    <t>Feedback di Game</t>
  </si>
  <si>
    <t>Ch 1 - Penjumlahan &amp; Pengurangan</t>
  </si>
  <si>
    <t>x + 7 = 15</t>
  </si>
  <si>
    <t>x = 8</t>
  </si>
  <si>
    <t>OP</t>
  </si>
  <si>
    <t>Operasi invers keliru</t>
  </si>
  <si>
    <t>22</t>
  </si>
  <si>
    <t>Menjumlahkan 15 + 7: memakai operasi yang sama, bukan kebalikannya.</t>
  </si>
  <si>
    <t>Hampir! Di ruas kiri, x sedang ditambah 7. Operasi apa yang bisa 'membatalkan' tambah 7 supaya x sendirian? Lakukan juga di ruas kanan.</t>
  </si>
  <si>
    <t>HT</t>
  </si>
  <si>
    <t>Kesalahan hitung</t>
  </si>
  <si>
    <t>7 atau 9</t>
  </si>
  <si>
    <t>Langkah sudah benar (15 - 7), tetapi hasil pengurangannya salah hitung.</t>
  </si>
  <si>
    <t>Langkahmu sudah tepat! Tinggal teliti hasil pengurangannya. Coba hitung ulang pelan-pelan.</t>
  </si>
  <si>
    <t>LM</t>
  </si>
  <si>
    <t>Langkah belum lengkap</t>
  </si>
  <si>
    <t>15</t>
  </si>
  <si>
    <t>Menganggap bilangan di ruas kanan langsung menjadi nilai x, tanpa menyingkirkan + 7.</t>
  </si>
  <si>
    <t>Coba uji jawabanmu: kalau x = 15, apakah x + 7 benar-benar sama dengan 15? Masih ada bilangan yang belum kamu singkirkan dari x.</t>
  </si>
  <si>
    <t>y - 9 = 4</t>
  </si>
  <si>
    <t>y = 13</t>
  </si>
  <si>
    <t>-5</t>
  </si>
  <si>
    <t>Mengurangi 4 dengan 9: mengulang operasi yang sama (- 9), bukan kebalikannya.</t>
  </si>
  <si>
    <t>Di ruas kiri, y dikurangi 9. Supaya y sendirian, 9 itu harus 'dikembalikan'. Operasi apa yang bisa melakukannya? Lakukan juga di ruas kanan.</t>
  </si>
  <si>
    <t>TD</t>
  </si>
  <si>
    <t>Kesalahan tanda / urutan</t>
  </si>
  <si>
    <t>5</t>
  </si>
  <si>
    <t>Mengurangkan bilangan kecil dari bilangan besar (9 - 4), mengabaikan bilangan mana yang menjadi titik awal.</t>
  </si>
  <si>
    <t>Perhatikan urutannya. Di ruas kanan ada 4, dan 9 'pindah' ke sana dengan operasi kebalikan. Tulis ulang langkahmu mulai dari 4.</t>
  </si>
  <si>
    <t>12 atau 14</t>
  </si>
  <si>
    <t>Langkah sudah benar (4 + 9), tetapi hasil penjumlahannya salah hitung.</t>
  </si>
  <si>
    <t>Langkahmu sudah tepat! Tinggal teliti hasil penjumlahannya. Coba hitung ulang.</t>
  </si>
  <si>
    <t>a + 12 = 5</t>
  </si>
  <si>
    <t>a = -7</t>
  </si>
  <si>
    <t>7</t>
  </si>
  <si>
    <t>Menghitung 12 - 5 (bilangan kecil dikurangkan dari yang besar) sehingga tanda negatif hilang.</t>
  </si>
  <si>
    <t>Kamu sudah mengurangi dengan benar! Sekarang periksa tandanya: 5 dikurangi 12 hasilnya positif atau negatif? Bayangkan garis bilangan.</t>
  </si>
  <si>
    <t>17</t>
  </si>
  <si>
    <t>Menjumlahkan 5 + 12: mengulang operasi yang sama.</t>
  </si>
  <si>
    <t>Di ruas kiri, 12 ditambahkan pada a. Kalau di ruas kanan kamu menambah lagi, 12 tidak akan hilang dari a. Operasi apa yang berlawanan dengan tambah?</t>
  </si>
  <si>
    <t>-6 atau -8</t>
  </si>
  <si>
    <t>Langkah benar (5 - 12), tetapi hasilnya salah hitung.</t>
  </si>
  <si>
    <t>Langkahmu sudah benar! Hitung ulang hasilnya: dari 5, mundur 12 langkah di garis bilangan, berhenti di mana?</t>
  </si>
  <si>
    <t>m - 15 = -8</t>
  </si>
  <si>
    <t>m = 7</t>
  </si>
  <si>
    <t>-23</t>
  </si>
  <si>
    <t>Mengurangi -8 dengan 15: mengulang operasi yang sama.</t>
  </si>
  <si>
    <t>Di ruas kiri, m dikurangi 15. Untuk mengembalikan m sendirian, operasi apa yang harus kamu lakukan pada kedua ruas?</t>
  </si>
  <si>
    <t>-7</t>
  </si>
  <si>
    <t>Sudah menambah 15, tetapi menghitung -8 + 15 sebagai -(15 - 8): terpengaruh tanda negatif.</t>
  </si>
  <si>
    <t>Kamu sudah menambah 15, bagus! Sekarang periksa -8 + 15: mulai dari -8 lalu maju 15 langkah. Berhenti di bilangan positif atau negatif?</t>
  </si>
  <si>
    <t>23</t>
  </si>
  <si>
    <t>Mengabaikan tanda negatif pada -8 (menghitung 8 + 15).</t>
  </si>
  <si>
    <t>Jangan lupa tanda pada ruas kanan: bilangannya -8, bukan 8. Tulis ulang langkahmu dengan tanda negatifnya.</t>
  </si>
  <si>
    <t>18 + x = 30</t>
  </si>
  <si>
    <t>x = 12</t>
  </si>
  <si>
    <t>48</t>
  </si>
  <si>
    <t>Menjumlahkan 30 + 18: mengulang operasi yang sama.</t>
  </si>
  <si>
    <t>Di ruas kiri, 18 ditambahkan pada x. Operasi apa yang bisa menyingkirkan 18? Lakukan di kedua ruas.</t>
  </si>
  <si>
    <t>-12</t>
  </si>
  <si>
    <t>Membalik urutan pengurangan (18 - 30).</t>
  </si>
  <si>
    <t>Hampir! Periksa urutan pengurangannya: bilangan yang disingkirkan dari ruas kanan adalah 18, jadi 30 dikurangi berapa?</t>
  </si>
  <si>
    <t>11 atau 13</t>
  </si>
  <si>
    <t>Langkah benar (30 - 18), tetapi hasilnya salah hitung.</t>
  </si>
  <si>
    <t>Langkahmu sudah tepat! Tinggal teliti hasil pengurangan 30 - 18.</t>
  </si>
  <si>
    <t>p - 6,5 = 3,5</t>
  </si>
  <si>
    <t>p = 10</t>
  </si>
  <si>
    <t>-3</t>
  </si>
  <si>
    <t>Mengurangi 3,5 dengan 6,5: mengulang operasi yang sama.</t>
  </si>
  <si>
    <t>Di ruas kiri, p dikurangi 6,5. Untuk mengembalikan p, operasi apa yang harus dilakukan pada kedua ruas?</t>
  </si>
  <si>
    <t>PC</t>
  </si>
  <si>
    <t>Pecahan / desimal</t>
  </si>
  <si>
    <t>9 atau 9,1</t>
  </si>
  <si>
    <t>Langkah benar (3,5 + 6,5), tetapi salah menjumlahkan desimal: 0,5 + 0,5 tidak 'disimpan' ke bilangan bulat, atau ditulis 9,10.</t>
  </si>
  <si>
    <t>Langkahmu sudah benar! Teliti lagi penjumlahan desimalnya: 0,5 + 0,5 sama dengan berapa, dan ke mana 'simpanannya' pergi?</t>
  </si>
  <si>
    <t>k + 1/2 = 3</t>
  </si>
  <si>
    <t>k = 5/2 atau 2,5</t>
  </si>
  <si>
    <t>3,5</t>
  </si>
  <si>
    <t>Menjumlahkan 3 + 1/2: mengulang operasi yang sama.</t>
  </si>
  <si>
    <t>Di ruas kiri, 1/2 ditambahkan pada k. Operasi apa yang berlawanan dengan tambah? Lakukan di kedua ruas.</t>
  </si>
  <si>
    <t>1</t>
  </si>
  <si>
    <t>Menghitung 3 - 1/2 sebagai (3 - 1)/2 = 1.</t>
  </si>
  <si>
    <t>Langkah pengurangannya sudah tepat! Tetapi 3 - 1/2 tidak bisa dihitung seperti itu. Ubah 3 menjadi pecahan berpenyebut 2 dulu, baru kurangi.</t>
  </si>
  <si>
    <t>2</t>
  </si>
  <si>
    <t>Mengabaikan pecahan 1/2 saat memindah ruas (3 - 1).</t>
  </si>
  <si>
    <t>Pecahan 1/2 ikut dipindah juga, dan nilainya tetap harus dihitung. Berapakah 3 - 1/2? Tulis sebagai bilangan campuran dulu kalau perlu.</t>
  </si>
  <si>
    <t>-7 + n = 14</t>
  </si>
  <si>
    <t>n = 21</t>
  </si>
  <si>
    <t>Mengurangi 14 dengan 7: memindah -7 tanpa membalik operasinya.</t>
  </si>
  <si>
    <t>-7 di ruas kiri artinya n sedang dikurangi 7. Supaya -7 hilang, operasi apa yang harus kamu lakukan pada kedua ruas?</t>
  </si>
  <si>
    <t>-21</t>
  </si>
  <si>
    <t>Menjumlahkan 14 + 7 dengan benar, tetapi menambahkan tanda negatif pada hasil.</t>
  </si>
  <si>
    <t>Penjumlahannya sudah tepat! Sekarang cek tandanya: uji jawabanmu, apakah -7 + (jawabanmu) benar-benar sama dengan 14?</t>
  </si>
  <si>
    <t>20 atau 22</t>
  </si>
  <si>
    <t>Langkah benar (14 + 7), tetapi hasilnya salah hitung.</t>
  </si>
  <si>
    <t>Langkahmu sudah benar! Tinggal teliti hasil 14 + 7.</t>
  </si>
  <si>
    <t>x - 14 = -20</t>
  </si>
  <si>
    <t>x = -6</t>
  </si>
  <si>
    <t>-34</t>
  </si>
  <si>
    <t>Mengurangi -20 dengan 14: mengulang operasi yang sama.</t>
  </si>
  <si>
    <t>Di ruas kiri, x dikurangi 14. Operasi apa yang bisa 'mengembalikan' 14? Lakukan di kedua ruas.</t>
  </si>
  <si>
    <t>6</t>
  </si>
  <si>
    <t>Menghitung -20 + 14 tetapi hasilnya ditulis positif: tanda negatif hilang.</t>
  </si>
  <si>
    <t>Kamu sudah menambah 14 dengan benar! Periksa tanda hasilnya: mulai dari -20, maju 14 langkah. Berhenti di positif atau negatif?</t>
  </si>
  <si>
    <t>34</t>
  </si>
  <si>
    <t>Mengabaikan tanda negatif pada -20 (menghitung 20 + 14).</t>
  </si>
  <si>
    <t>Tanda negatif pada -20 tidak boleh hilang. Tulis ulang ruas kananmu dengan tanda yang benar.</t>
  </si>
  <si>
    <t>-5 atau -7</t>
  </si>
  <si>
    <t>Langkah benar (-20 + 14), tetapi hasilnya salah hitung.</t>
  </si>
  <si>
    <t>Langkahmu sudah tepat! Hitung ulang -20 + 14 pada garis bilangan.</t>
  </si>
  <si>
    <t>y + 25 = 11</t>
  </si>
  <si>
    <t>y = -14</t>
  </si>
  <si>
    <t>14</t>
  </si>
  <si>
    <t>Menghitung 25 - 11 (urutan terbalik) sehingga tanda negatif hilang.</t>
  </si>
  <si>
    <t>Kamu sudah mengurangi 25, bagus! Tapi urutannya: 11 dikurangi 25, bukan sebaliknya. Hasilnya positif atau negatif?</t>
  </si>
  <si>
    <t>36</t>
  </si>
  <si>
    <t>Menjumlahkan 11 + 25: mengulang operasi yang sama.</t>
  </si>
  <si>
    <t>Di ruas kiri, 25 ditambahkan pada y. Operasi apa yang berlawanan dengan tambah? Lakukan di kedua ruas.</t>
  </si>
  <si>
    <t>-13 atau -15</t>
  </si>
  <si>
    <t>Langkah benar (11 - 25), tetapi hasilnya salah hitung.</t>
  </si>
  <si>
    <t>Langkahmu sudah tepat! Hitung ulang 11 - 25: dari 11, mundur 25 langkah.</t>
  </si>
  <si>
    <t>Ch 2 - Perkalian &amp; Pembagian</t>
  </si>
  <si>
    <t>4x = 28</t>
  </si>
  <si>
    <t>x = 7</t>
  </si>
  <si>
    <t>KV</t>
  </si>
  <si>
    <t>Keliru kali/bagi</t>
  </si>
  <si>
    <t>112</t>
  </si>
  <si>
    <t>Mengalikan 28 x 4: mengira cara menyingkirkan 4 adalah mengalikan.</t>
  </si>
  <si>
    <t>4x artinya 4 kali x. Supaya x sendirian, operasi apa yang berlawanan dengan 'dikali 4'?</t>
  </si>
  <si>
    <t>1/7 (≈ 0,14)</t>
  </si>
  <si>
    <t>Membagi 4 dengan 28: urutan pembagian terbalik.</t>
  </si>
  <si>
    <t>Kamu sudah memilih pembagian, bagus! Tapi urutannya tertukar: yang dibagi adalah bilangan di ruas kanan, dan pembaginya koefisien x.</t>
  </si>
  <si>
    <t>24</t>
  </si>
  <si>
    <t>Menganggap 4x = 4 + x, lalu mengurangi 28 dengan 4.</t>
  </si>
  <si>
    <t>4x bukan 4 + x, melainkan 4 kali x. Uji jawabanmu: apakah 4 kali jawabanmu sama dengan 28?</t>
  </si>
  <si>
    <t>6 atau 8</t>
  </si>
  <si>
    <t>Langkah benar (28 : 4), tetapi hasil bagi salah hitung.</t>
  </si>
  <si>
    <t>Langkahmu sudah tepat! Tinggal teliti hasil pembagian 28 : 4.</t>
  </si>
  <si>
    <t>-3y = 21</t>
  </si>
  <si>
    <t>y = -7</t>
  </si>
  <si>
    <t>Membagi 21 : 3 dengan mengabaikan tanda negatif pada -3.</t>
  </si>
  <si>
    <t>Bagus, kamu membagi! Tapi bagilah dengan -3 (bukan 3). Bilangan positif dibagi bilangan negatif, hasilnya positif atau negatif?</t>
  </si>
  <si>
    <t>-63</t>
  </si>
  <si>
    <t>Mengalikan 21 x (-3): mengira cara menyingkirkan -3 adalah mengalikan.</t>
  </si>
  <si>
    <t>-3y artinya -3 kali y. Supaya y sendirian, operasi apa yang berlawanan dengan kali?</t>
  </si>
  <si>
    <t>24 atau 18</t>
  </si>
  <si>
    <t>Menganggap -3y = -3 + y, lalu menambah/mengurang 21 dengan 3.</t>
  </si>
  <si>
    <t>-3y bukan -3 + y, melainkan -3 kali y. Operasi lawan dari 'kali' adalah ...?</t>
  </si>
  <si>
    <t>Langkah benar (21 : -3), tetapi hasil bagi salah hitung.</t>
  </si>
  <si>
    <t>Langkahmu sudah tepat! Tinggal teliti hasil pembagiannya.</t>
  </si>
  <si>
    <t>a/5 = 6</t>
  </si>
  <si>
    <t>a = 30</t>
  </si>
  <si>
    <t>1,2</t>
  </si>
  <si>
    <t>Membagi 6 : 5: mengira cara menyingkirkan 'dibagi 5' adalah membagi lagi.</t>
  </si>
  <si>
    <t>Di soal, a sedang dibagi 5. Supaya a sendirian, operasi kebalikan dari 'dibagi 5' adalah ...? Lakukan di kedua ruas.</t>
  </si>
  <si>
    <t>1 atau 11</t>
  </si>
  <si>
    <t>Menganggap a/5 = a - 5 (atau a + 5), lalu menambah/mengurang 6 dengan 5.</t>
  </si>
  <si>
    <t>a/5 bukan berarti a dikurang 5. Artinya a dibagi 5. Apa kebalikan dari 'dibagi'?</t>
  </si>
  <si>
    <t>25 atau 35</t>
  </si>
  <si>
    <t>Langkah benar (6 x 5), tetapi hasil kali salah hitung.</t>
  </si>
  <si>
    <t>Langkahmu sudah tepat! Tinggal teliti hasil perkalian 6 x 5.</t>
  </si>
  <si>
    <t>m/4 = -9</t>
  </si>
  <si>
    <t>m = -36</t>
  </si>
  <si>
    <t>Mengalikan -9 x 4 tetapi hasilnya ditulis positif: tanda negatif hilang.</t>
  </si>
  <si>
    <t>Kamu sudah mengalikan 4, bagus! Periksa tandanya: -9 dikali 4 hasilnya positif atau negatif?</t>
  </si>
  <si>
    <t>-2,25</t>
  </si>
  <si>
    <t>Membagi -9 : 4: mengira cara menyingkirkan '/4' adalah membagi lagi.</t>
  </si>
  <si>
    <t>m sedang dibagi 4. Supaya m sendirian, operasi kebalikan dari 'dibagi 4' adalah ...?</t>
  </si>
  <si>
    <t>-5 atau -13</t>
  </si>
  <si>
    <t>Menganggap m/4 = m - 4, lalu menambah/mengurang -9 dengan 4.</t>
  </si>
  <si>
    <t>m/4 bukan berarti m dikurang 4. Artinya m dibagi 4. Apa kebalikan dari 'dibagi'?</t>
  </si>
  <si>
    <t>(2/3)x = 12</t>
  </si>
  <si>
    <t>x = 18</t>
  </si>
  <si>
    <t>8</t>
  </si>
  <si>
    <t>Mengalikan 12 x 2/3: memakai pecahan yang sama, bukan kebalikannya.</t>
  </si>
  <si>
    <t>Koefisien x adalah 2/3. Supaya x sendirian, kalikan dengan KEBALIKAN dari 2/3, yaitu pecahan yang pembilang dan penyebutnya ditukar.</t>
  </si>
  <si>
    <t>Hanya membagi 12 dengan 2 (pembilang) lalu berhenti, lupa mengalikan 3.</t>
  </si>
  <si>
    <t>Kamu baru menangani angka 2-nya. Masih ada 3 sebagai penyebut. Gunakan kebalikan dari 2/3 sekaligus.</t>
  </si>
  <si>
    <t>Hanya mengalikan 12 dengan 3 (penyebut), lupa membagi 2.</t>
  </si>
  <si>
    <t>Kamu baru menangani angka 3-nya. Masih ada 2 sebagai pembilang. Gunakan kebalikan dari 2/3 sekaligus.</t>
  </si>
  <si>
    <t>-8p = -56</t>
  </si>
  <si>
    <t>p = 7</t>
  </si>
  <si>
    <t>Membagi -56 : 8 dengan mengabaikan tanda negatif pada pembagi (-8).</t>
  </si>
  <si>
    <t>Bagus, kamu membagi! Periksa tandanya: bilangan negatif dibagi bilangan negatif, hasilnya positif atau negatif?</t>
  </si>
  <si>
    <t>448</t>
  </si>
  <si>
    <t>Mengalikan -56 x (-8): mengira cara menyingkirkan -8 adalah mengalikan.</t>
  </si>
  <si>
    <t>-8p artinya -8 kali p. Supaya p sendirian, operasi apa yang berlawanan dengan kali?</t>
  </si>
  <si>
    <t>-64 atau -48</t>
  </si>
  <si>
    <t>Menganggap -8p = -8 + p, lalu menambah/mengurang -56 dengan 8.</t>
  </si>
  <si>
    <t>-8p bukan -8 + p, melainkan -8 kali p. Operasi lawan dari 'kali' adalah ...?</t>
  </si>
  <si>
    <t>Langkah benar (-56 : -8), tetapi hasil bagi salah hitung.</t>
  </si>
  <si>
    <t>Langkahmu sudah tepat! Tinggal teliti hasil pembagian 56 : 8.</t>
  </si>
  <si>
    <t>y/0,5 = 14</t>
  </si>
  <si>
    <t>y = 7</t>
  </si>
  <si>
    <t>28</t>
  </si>
  <si>
    <t>Membagi 14 : 0,5: mengira cara menyingkirkan '/0,5' adalah membagi lagi.</t>
  </si>
  <si>
    <t>y sudah dibagi 0,5. Supaya y sendirian, operasi kebalikan dari 'dibagi' adalah ...?</t>
  </si>
  <si>
    <t>70 atau 0,7</t>
  </si>
  <si>
    <t>Mengalikan 14 x 0,5 dengan letak koma salah pada hasil.</t>
  </si>
  <si>
    <t>Kamu sudah mengalikan, langkah yang tepat! Periksa letak komanya: apakah wajar 14 dikali bilangan kurang dari 1 hasilnya sebesar itu?</t>
  </si>
  <si>
    <t>13,5 atau 14,5</t>
  </si>
  <si>
    <t>Menganggap y/0,5 = y - 0,5, lalu menambah/mengurang 14 dengan 0,5.</t>
  </si>
  <si>
    <t>y/0,5 artinya y DIBAGI 0,5, bukan dikurangi 0,5. Operasi kebaliknya apa?</t>
  </si>
  <si>
    <t>0,4k = 1,6</t>
  </si>
  <si>
    <t>k = 4</t>
  </si>
  <si>
    <t>0,64</t>
  </si>
  <si>
    <t>Mengalikan 1,6 x 0,4: mengira cara menyingkirkan 0,4 adalah mengalikan.</t>
  </si>
  <si>
    <t>0,4k artinya 0,4 kali k. Supaya k sendirian, operasi apa yang berlawanan dengan kali?</t>
  </si>
  <si>
    <t>0,4 atau 40</t>
  </si>
  <si>
    <t>Membagi 1,6 : 0,4 dengan letak koma salah pada hasil.</t>
  </si>
  <si>
    <t>Pembagianmu sudah tepat, periksa letak komanya. Trik: kalikan 1,6 dan 0,4 dengan 10 supaya jadi bilangan bulat, lalu bagi.</t>
  </si>
  <si>
    <t>0,25</t>
  </si>
  <si>
    <t>Membagi 0,4 : 1,6: urutan pembagian terbalik.</t>
  </si>
  <si>
    <t>Kamu sudah memilih pembagian, bagus! Tapi urutannya tertukar: yang dibagi adalah 1,6 (ruas kanan), dan pembaginya 0,4.</t>
  </si>
  <si>
    <t>1,2 atau 2</t>
  </si>
  <si>
    <t>Menganggap 0,4k = 0,4 + k, lalu menambah/mengurang 1,6 dengan 0,4.</t>
  </si>
  <si>
    <t>0,4k bukan 0,4 + k, melainkan 0,4 kali k. Operasi lawan dari 'kali' adalah ...?</t>
  </si>
  <si>
    <t>-(3/4)n = 15</t>
  </si>
  <si>
    <t>n = -20</t>
  </si>
  <si>
    <t>20</t>
  </si>
  <si>
    <t>Membagi 15 dengan 3/4 dan mengabaikan tanda negatif pada koefisien -3/4 (hasil ditulis positif).</t>
  </si>
  <si>
    <t>Langkahmu sudah bagus! Periksa tanda di langkah terakhir: koefisiennya -3/4, jadi bilangan positif dikali kebalikan yang negatif hasilnya positif atau negatif?</t>
  </si>
  <si>
    <t>-11,25 atau 11,25</t>
  </si>
  <si>
    <t>Mengalikan 15 x (-3/4) atau 15 x 3/4: memakai pecahan yang sama, bukan kebalikannya.</t>
  </si>
  <si>
    <t>Koefisien n adalah -3/4. Supaya n sendirian, kalikan dengan KEBALIKAN dari -3/4, yaitu pecahan yang pembilang dan penyebutnya ditukar (tanda negatif tetap ada).</t>
  </si>
  <si>
    <t>Hanya membagi 15 dengan -3 (pembilang) lalu berhenti, lupa mengalikan 4.</t>
  </si>
  <si>
    <t>Kamu baru menangani angka 3-nya. Masih ada 4 sebagai penyebut. Gunakan kebalikan dari -3/4 sekaligus.</t>
  </si>
  <si>
    <t>60</t>
  </si>
  <si>
    <t>Hanya mengalikan 15 dengan 4 (penyebut), lupa membagi -3.</t>
  </si>
  <si>
    <t>Kamu baru menangani angka 4-nya. Masih ada -3 sebagai pembilang. Gunakan kebalikan dari -3/4 sekaligus.</t>
  </si>
  <si>
    <t>15z = -75</t>
  </si>
  <si>
    <t>z = -5</t>
  </si>
  <si>
    <t>Membagi -75 : 15 tetapi hasilnya ditulis positif: tanda negatif hilang.</t>
  </si>
  <si>
    <t>Kamu sudah membagi 75 dengan 15, bagus! Periksa tandanya: bilangan negatif dibagi bilangan positif, hasilnya positif atau negatif?</t>
  </si>
  <si>
    <t>-1125</t>
  </si>
  <si>
    <t>Mengalikan -75 x 15: mengira cara menyingkirkan 15 adalah mengalikan.</t>
  </si>
  <si>
    <t>15z artinya 15 kali z. Supaya z sendirian, operasi apa yang berlawanan dengan kali?</t>
  </si>
  <si>
    <t>-0,2</t>
  </si>
  <si>
    <t>Membagi 15 : (-75): urutan pembagian terbalik.</t>
  </si>
  <si>
    <t>Kamu sudah memilih pembagian, bagus! Tapi urutannya tertukar: yang dibagi adalah -75 (ruas kanan), dan pembaginya 15.</t>
  </si>
  <si>
    <t>-4 atau -6</t>
  </si>
  <si>
    <t>Langkah benar (-75 : 15), tetapi hasil bagi salah hitung.</t>
  </si>
  <si>
    <t>Langkahmu sudah tepat! Tinggal teliti hasil pembagian 75 : 15.</t>
  </si>
  <si>
    <t>Ch 3 - Operasi Campuran</t>
  </si>
  <si>
    <t>2x + 5 = 17</t>
  </si>
  <si>
    <t>x = 6</t>
  </si>
  <si>
    <t>12</t>
  </si>
  <si>
    <t>Berhenti di 2x = 12 (belum dibagi 2).</t>
  </si>
  <si>
    <t>Kamu sudah menyingkirkan + 5, bagus! Tapi x belum sendirian: masih ada 2 yang mengalikan x. Lanjutkan!</t>
  </si>
  <si>
    <t>11</t>
  </si>
  <si>
    <t>Menambah 5 ke ruas kanan (17 + 5) lalu membagi 2.</t>
  </si>
  <si>
    <t>Di ruas kiri, 5 ditambahkan pada 2x. Operasi kebalikan dari 'tambah 5' adalah ...? Lakukan di kedua ruas sebelum membagi 2.</t>
  </si>
  <si>
    <t>BS</t>
  </si>
  <si>
    <t>Operasi hanya pada sebagian suku</t>
  </si>
  <si>
    <t>3,5 atau 14,5</t>
  </si>
  <si>
    <t>Hanya membagi satu suku (17 : 2 - 5, atau 17 - 5 : 2).</t>
  </si>
  <si>
    <t>Saat membagi 2, SEMUA suku ikut dibagi. Lebih aman: singkirkan + 5 dulu dari kedua ruas, baru bagi dengan 2.</t>
  </si>
  <si>
    <t>5 atau 7</t>
  </si>
  <si>
    <t>Langkah benar (12 : 2), tetapi hasil bagi salah hitung.</t>
  </si>
  <si>
    <t>Langkahmu sudah tepat! Tinggal teliti hasil pembagian 12 : 2.</t>
  </si>
  <si>
    <t>3y - 8 = 13</t>
  </si>
  <si>
    <t>21</t>
  </si>
  <si>
    <t>Berhenti di 3y = 21 (belum dibagi 3).</t>
  </si>
  <si>
    <t>Kamu sudah menyingkirkan - 8, bagus! Tapi y belum sendirian: masih ada 3 yang mengalikan y. Lanjutkan!</t>
  </si>
  <si>
    <t>5/3 (≈ 1,67)</t>
  </si>
  <si>
    <t>Mengurangi 13 dengan 8 (mengulang operasi yang sama) lalu membagi 3.</t>
  </si>
  <si>
    <t>Di ruas kiri, 8 sedang dikurangkan. Operasi kebalikan dari 'kurang 8' adalah ...? Lakukan di kedua ruas.</t>
  </si>
  <si>
    <t>37/3 (≈ 12,33)</t>
  </si>
  <si>
    <t>Membagi 13 : 3 lalu menambah 8 (hanya membagi satu suku).</t>
  </si>
  <si>
    <t>Saat membagi 3, SEMUA suku ikut dibagi. Lebih aman: singkirkan - 8 dulu dari kedua ruas, baru bagi dengan 3.</t>
  </si>
  <si>
    <t>Langkah benar (21 : 3), tetapi hasil bagi salah hitung.</t>
  </si>
  <si>
    <t>Langkahmu sudah tepat! Tinggal teliti hasil pembagian 21 : 3.</t>
  </si>
  <si>
    <t>5a + 12 = -3</t>
  </si>
  <si>
    <t>a = -3</t>
  </si>
  <si>
    <t>-15</t>
  </si>
  <si>
    <t>Berhenti di 5a = -15 (belum dibagi 5).</t>
  </si>
  <si>
    <t>Kamu sudah menyingkirkan + 12, bagus! Tapi a masih dikali 5. Lanjutkan sampai a sendirian.</t>
  </si>
  <si>
    <t>3</t>
  </si>
  <si>
    <t>Membagi -15 : 5 tetapi hasilnya ditulis positif: tanda negatif hilang.</t>
  </si>
  <si>
    <t>Langkahmu sudah bagus! Periksa tanda di langkah terakhir: bilangan negatif dibagi bilangan positif, hasilnya positif atau negatif?</t>
  </si>
  <si>
    <t>1,8</t>
  </si>
  <si>
    <t>Menambah 12 ke ruas kanan (-3 + 12) lalu membagi 5.</t>
  </si>
  <si>
    <t>Di ruas kiri, 12 ditambahkan pada 5a. Kalau kamu menambah lagi, 12 tidak akan hilang. Operasi lawan dari 'tambah' apa?</t>
  </si>
  <si>
    <t>-12,6</t>
  </si>
  <si>
    <t>Membagi -3 : 5 lalu mengurangi 12 (hanya membagi satu suku).</t>
  </si>
  <si>
    <t>Saat membagi 5, SEMUA suku ikut dibagi. Lebih aman: singkirkan + 12 dulu dari kedua ruas, baru bagi dengan 5.</t>
  </si>
  <si>
    <t>4(m - 2) = 16</t>
  </si>
  <si>
    <t>m = 6</t>
  </si>
  <si>
    <t>DS</t>
  </si>
  <si>
    <t>Distribusi (membuka kurung) keliru</t>
  </si>
  <si>
    <t>4,5</t>
  </si>
  <si>
    <t>Membuka 4(m - 2) menjadi 4m - 2: angka 2 tidak ikut dikali 4.</t>
  </si>
  <si>
    <t>Ingat: angka di depan kurung mengalikan SEMUA isi kurung. Coba kalikan 4 dengan m, lalu 4 dengan 2.</t>
  </si>
  <si>
    <t>Membuka 4(m - 2) menjadi 4m + 8: tanda negatif hilang saat dikali.</t>
  </si>
  <si>
    <t>Periksa tanda saat membuka kurung: 4 x (-2) hasilnya positif atau negatif?</t>
  </si>
  <si>
    <t>4</t>
  </si>
  <si>
    <t>Berhenti di m - 2 = 4 (belum menambah 2).</t>
  </si>
  <si>
    <t>Kamu sudah membagi 4 dengan benar! Tapi m masih ditemani - 2. Lanjutkan sampai m sendirian.</t>
  </si>
  <si>
    <t>66</t>
  </si>
  <si>
    <t>Mengalikan 16 x 4 (bukan membagi) lalu menambah 2.</t>
  </si>
  <si>
    <t>Angka 4 di depan kurung mengalikan isi kurung. Supaya 4 itu hilang, operasi apa yang berlawanan dengan kali?</t>
  </si>
  <si>
    <t>(x + 4)/3 = 5</t>
  </si>
  <si>
    <t>x = 11</t>
  </si>
  <si>
    <t>Berhenti di x + 4 = 15 (belum mengurangi 4).</t>
  </si>
  <si>
    <t>Kamu sudah menyingkirkan penyebut 3, bagus! Tapi x masih ditemani + 4. Lanjutkan!</t>
  </si>
  <si>
    <t>11/3 (≈ 3,67)</t>
  </si>
  <si>
    <t>Menganggap hanya 4 yang dibagi 3: x + 4/3 = 5.</t>
  </si>
  <si>
    <t>Perhatikan garis pecahannya: (x + 4) SELURUHNYA dibagi 3, bukan hanya 4-nya. Saat ruas kiri dikali 3, apa yang terjadi pada bagian atas?</t>
  </si>
  <si>
    <t>19</t>
  </si>
  <si>
    <t>Mengalikan 5 x 3 lalu menambah 4 (seharusnya dikurangi).</t>
  </si>
  <si>
    <t>Di ruas kiri, 4 ditambahkan pada x. Operasi kebalikan dari 'tambah 4' adalah ...? Lakukan di kedua ruas.</t>
  </si>
  <si>
    <t>10 atau 12</t>
  </si>
  <si>
    <t>Langkah benar (15 - 4), tetapi hasilnya salah hitung.</t>
  </si>
  <si>
    <t>Langkahmu sudah tepat! Tinggal teliti hasil 15 - 4.</t>
  </si>
  <si>
    <t>-2p + 9 = 25</t>
  </si>
  <si>
    <t>p = -8</t>
  </si>
  <si>
    <t>Membagi 16 : 2 dengan mengabaikan tanda negatif pada koefisien -2.</t>
  </si>
  <si>
    <t>Hampir! Kamu sudah membagi 16 dengan 2. Tapi koefisiennya -2, bukan 2. Positif dibagi negatif hasilnya ...?</t>
  </si>
  <si>
    <t>-17</t>
  </si>
  <si>
    <t>Menambah 9 ke ruas kanan (25 + 9) lalu membagi -2.</t>
  </si>
  <si>
    <t>Di ruas kiri, 9 ditambahkan pada -2p. Operasi kebalikan dari 'tambah 9' adalah ...? Lakukan di kedua ruas.</t>
  </si>
  <si>
    <t>16</t>
  </si>
  <si>
    <t>Berhenti di -2p = 16 (belum dibagi -2).</t>
  </si>
  <si>
    <t>Bagus, kamu sudah menyingkirkan + 9! Tapi p masih dikali -2. Lanjutkan sampai p sendirian.</t>
  </si>
  <si>
    <t>-32</t>
  </si>
  <si>
    <t>Mengalikan 16 x (-2): mengira cara menyingkirkan -2 adalah mengalikan.</t>
  </si>
  <si>
    <t>-2p artinya -2 kali p. Supaya p sendirian, operasi apa yang berlawanan dengan kali?</t>
  </si>
  <si>
    <t>7 - 3k = -11</t>
  </si>
  <si>
    <t>k = 6</t>
  </si>
  <si>
    <t>-6</t>
  </si>
  <si>
    <t>Membagi -18 : (-3) tetapi hasilnya ditulis negatif.</t>
  </si>
  <si>
    <t>Langkahmu sudah bagus! Periksa tanda di langkah terakhir: negatif dibagi negatif hasilnya positif atau negatif?</t>
  </si>
  <si>
    <t>PR</t>
  </si>
  <si>
    <t>Pindah ruas keliru</t>
  </si>
  <si>
    <t>4/3 (≈ 1,33)</t>
  </si>
  <si>
    <t>Menyingkirkan 7 dengan -11 + 7: tanda 7 tidak berubah saat pindah ruas.</t>
  </si>
  <si>
    <t>Saat 7 pindah ke ruas kanan, tandanya berubah. + 7 di kiri menjadi ... di kanan. Coba lagi langkah pertama.</t>
  </si>
  <si>
    <t>GS</t>
  </si>
  <si>
    <t>Menggabungkan suku tidak sejenis</t>
  </si>
  <si>
    <t>-2,75</t>
  </si>
  <si>
    <t>Menggabungkan 7 - 3k menjadi 4k (mengurangi suku tidak sejenis).</t>
  </si>
  <si>
    <t>7 dan 3k bukan suku sejenis: 7 bilangan biasa, 3k memuat k. Keduanya tidak bisa digabung jadi 4k. Singkirkan 7 dulu dari kedua ruas.</t>
  </si>
  <si>
    <t>-18</t>
  </si>
  <si>
    <t>Berhenti di -3k = -18 (belum dibagi -3).</t>
  </si>
  <si>
    <t>Hampir selesai! k masih dikali -3. Lanjutkan sampai k sendirian.</t>
  </si>
  <si>
    <t>2y/5 - 3 = 7</t>
  </si>
  <si>
    <t>y = 25</t>
  </si>
  <si>
    <t>50</t>
  </si>
  <si>
    <t>Berhenti di 2y = 50 (belum dibagi 2).</t>
  </si>
  <si>
    <t>Kamu sudah menghilangkan penyebut 5, bagus! Tapi y masih dikali 2. Lanjutkan!</t>
  </si>
  <si>
    <t>Mengalikan 10 dengan 2/5 (bukan kebalikannya 5/2).</t>
  </si>
  <si>
    <t>Untuk menghilangkan pembagi 5, kalikan 5 ke kedua ruas. Setelah itu baru urus angka 2 di depan y.</t>
  </si>
  <si>
    <t>10</t>
  </si>
  <si>
    <t>Memindah -3 tanpa mengubah tanda (2y/5 = 7 - 3).</t>
  </si>
  <si>
    <t>Saat - 3 pindah ke ruas kanan, tandanya berubah. Coba lagi langkah pertamamu.</t>
  </si>
  <si>
    <t>20 atau 30</t>
  </si>
  <si>
    <t>Langkah benar (2y = 50), tetapi 50 : 2 salah hitung.</t>
  </si>
  <si>
    <t>Langkahmu sudah tepat! Tinggal teliti hasil pembagian 50 : 2.</t>
  </si>
  <si>
    <t>3(2n + 1) = 27</t>
  </si>
  <si>
    <t>n = 4</t>
  </si>
  <si>
    <t>13/3 (≈ 4,33)</t>
  </si>
  <si>
    <t>Membuka 3(2n + 1) menjadi 6n + 1: angka 1 tidak ikut dikali 3.</t>
  </si>
  <si>
    <t>Ingat: angka di depan kurung mengalikan SEMUA isi kurung. Coba kalikan 3 dengan 2n, lalu 3 dengan 1.</t>
  </si>
  <si>
    <t>Berhenti di 2n = 8 (belum dibagi 2).</t>
  </si>
  <si>
    <t>Kamu sudah menyingkirkan + 1, bagus! Tapi n masih dikali 2. Lanjutkan!</t>
  </si>
  <si>
    <t>9</t>
  </si>
  <si>
    <t>Berhenti di 2n + 1 = 9 (belum menyingkirkan + 1 dan 2).</t>
  </si>
  <si>
    <t>Kamu sudah menghilangkan 3 di depan kurung, bagus! Tapi n masih ditemani + 1 dan dikali 2. Lanjutkan!</t>
  </si>
  <si>
    <t>Memindah + 1 tanpa mengubah tanda (2n = 9 + 1).</t>
  </si>
  <si>
    <t>Saat + 1 pindah ke ruas kanan, tandanya berubah. Coba lagi langkahmu.</t>
  </si>
  <si>
    <t>10 - 2(x + 3) = 2</t>
  </si>
  <si>
    <t>x = 1</t>
  </si>
  <si>
    <t>Membuka -2(x + 3) menjadi -2x + 6: tanda negatif tidak ikut dikali.</t>
  </si>
  <si>
    <t>Periksa tanda saat membuka kurung: -2 dikali + 3 hasilnya positif atau negatif?</t>
  </si>
  <si>
    <t>2,5</t>
  </si>
  <si>
    <t>Membuka -2(x + 3) menjadi -2x - 3: angka 3 tidak ikut dikali 2.</t>
  </si>
  <si>
    <t>Ingat: angka di depan kurung (termasuk tandanya) mengalikan SEMUA isi kurung. Coba kalikan -2 dengan x, lalu -2 dengan 3.</t>
  </si>
  <si>
    <t>Mengurangi 10 - 2 = 8 lebih dulu sehingga menjadi 8(x + 3) = 2.</t>
  </si>
  <si>
    <t>Hati-hati urutan operasinya: 2(x + 3) harus dikerjakan dulu (perkalian) sebelum dikurangkan dari 10.</t>
  </si>
  <si>
    <t>-1</t>
  </si>
  <si>
    <t>Menyelesaikan -2x = -2 menjadi x = -1: negatif dibagi negatif dianggap negatif.</t>
  </si>
  <si>
    <t>Ch 4 - Variabel di Kedua Ruas</t>
  </si>
  <si>
    <t>5x - 3 = 2x + 9</t>
  </si>
  <si>
    <t>x = 4</t>
  </si>
  <si>
    <t>5x - 2x = 9 - 3: memindah -3 tanpa mengubah tanda.</t>
  </si>
  <si>
    <t>Saat - 3 pindah ke ruas kanan, tandanya berubah. - 3 di kiri menjadi ... di kanan. Coba lagi.</t>
  </si>
  <si>
    <t>12/7 (≈ 1,71)</t>
  </si>
  <si>
    <t>5x + 2x = 9 + 3: memindah 2x tanpa mengubah tanda.</t>
  </si>
  <si>
    <t>Saat 2x pindah ke ruas kiri, tandanya juga berubah. + 2x di kanan menjadi ... di kiri. Coba lagi.</t>
  </si>
  <si>
    <t>Berhenti di 3x = 12 (belum dibagi 3).</t>
  </si>
  <si>
    <t>Kamu berhasil mengumpulkan suku-sukunya, hebat! Tapi x masih dikali 3. Lanjutkan!</t>
  </si>
  <si>
    <t>3 atau 5</t>
  </si>
  <si>
    <t>Langkah benar (12 : 3), tetapi hasil bagi salah hitung.</t>
  </si>
  <si>
    <t>Langkahmu sudah tepat! Tinggal teliti hasil pembagian 12 : 3.</t>
  </si>
  <si>
    <t>7y + 4 = 3y - 12</t>
  </si>
  <si>
    <t>y = -4</t>
  </si>
  <si>
    <t>-2</t>
  </si>
  <si>
    <t>7y - 3y = -12 + 4: memindah + 4 tanpa mengubah tanda.</t>
  </si>
  <si>
    <t>Saat + 4 pindah ke ruas kanan, tandanya berubah. Coba lagi langkah pemindahanmu.</t>
  </si>
  <si>
    <t>-1,6</t>
  </si>
  <si>
    <t>7y + 3y = -12 - 4: memindah 3y tanpa mengubah tanda.</t>
  </si>
  <si>
    <t>Saat 3y pindah ke ruas kiri, tandanya juga berubah. + 3y di kanan menjadi ... di kiri.</t>
  </si>
  <si>
    <t>Membagi -16 : 4 tetapi hasilnya ditulis positif: tanda negatif hilang.</t>
  </si>
  <si>
    <t>Kamu sudah membagi, bagus! Periksa tandanya: -16 dibagi 4 hasilnya positif atau negatif?</t>
  </si>
  <si>
    <t>-16</t>
  </si>
  <si>
    <t>Berhenti di 4y = -16 (belum dibagi 4).</t>
  </si>
  <si>
    <t>Kamu berhasil mengumpulkan suku-sukunya, hebat! Tapi y masih dikali 4. Lanjutkan!</t>
  </si>
  <si>
    <t>4a + 10 = 6a - 2</t>
  </si>
  <si>
    <t>a = 6</t>
  </si>
  <si>
    <t>-4</t>
  </si>
  <si>
    <t>4a - 6a = -2 + 10: memindah + 10 tanpa mengubah tanda.</t>
  </si>
  <si>
    <t>Saat + 10 pindah ke ruas kanan, tandanya berubah. Coba lagi langkah pemindahanmu.</t>
  </si>
  <si>
    <t>-1,2</t>
  </si>
  <si>
    <t>4a + 6a = -2 - 10: memindah 6a tanpa mengubah tanda.</t>
  </si>
  <si>
    <t>Saat 6a pindah ke ruas kiri, tandanya juga berubah. + 6a di kanan menjadi ... di kiri.</t>
  </si>
  <si>
    <t>Menyelesaikan -2a = -12 menjadi a = -6: negatif dibagi negatif dianggap negatif.</t>
  </si>
  <si>
    <t>Berhenti di 2a = 12 (belum dibagi 2).</t>
  </si>
  <si>
    <t>Kamu berhasil mengumpulkan suku-sukunya, hebat! Tapi a masih dikali 2. Lanjutkan!</t>
  </si>
  <si>
    <t>3(m + 2) = 2(m + 7)</t>
  </si>
  <si>
    <t>m = 8</t>
  </si>
  <si>
    <t>Membuka 3(m + 2) menjadi 3m + 2: angka 2 tidak ikut dikali 3.</t>
  </si>
  <si>
    <t>Ingat: angka di depan kurung mengalikan SEMUA isi kurung. Periksa ruas kiri DAN ruas kananmu.</t>
  </si>
  <si>
    <t>Membuka 2(m + 7) menjadi 2m + 7: angka 7 tidak ikut dikali 2.</t>
  </si>
  <si>
    <t>-8</t>
  </si>
  <si>
    <t>3m - 2m = 6 - 14: urutan pengurangan terbalik.</t>
  </si>
  <si>
    <t>Hampir! Saat memindahkan suku konstan, periksa urutannya: bilangan di ruas kanan dikurangi bilangan yang pindah dari ruas kiri, bukan sebaliknya.</t>
  </si>
  <si>
    <t>3m + 2m = 14 + 6: memindah 6 dan 2m tanpa mengubah tanda.</t>
  </si>
  <si>
    <t>Saat suku pindah ruas, tandanya berubah. Periksa lagi tanda 6 dan 2m setelah dipindah.</t>
  </si>
  <si>
    <t>Langkah benar (14 - 6), tetapi hasilnya salah hitung.</t>
  </si>
  <si>
    <t>Langkahmu sudah tepat! Tinggal teliti hasil 14 - 6.</t>
  </si>
  <si>
    <t>8 - 2p = 4p + 20</t>
  </si>
  <si>
    <t>p = -2</t>
  </si>
  <si>
    <t>Membagi -12 : 6 tetapi hasilnya ditulis positif: tanda negatif hilang.</t>
  </si>
  <si>
    <t>Kamu sudah membagi, bagus! Periksa tandanya: -12 dibagi 6 hasilnya positif atau negatif?</t>
  </si>
  <si>
    <t>-14/3 (≈ -4,67)</t>
  </si>
  <si>
    <t>-2p - 4p = 20 + 8: memindah 8 tanpa mengubah tanda.</t>
  </si>
  <si>
    <t>Saat 8 pindah ke ruas kanan, tandanya berubah. + 8 di kiri menjadi ... di kanan.</t>
  </si>
  <si>
    <t>8 - 2p + 4p = 20: memindah 4p tanpa mengubah tanda.</t>
  </si>
  <si>
    <t>Saat 4p pindah ke ruas kiri, tandanya juga berubah. + 4p di kanan menjadi ... di kiri.</t>
  </si>
  <si>
    <t>Berhenti di -12 = 6p (belum dibagi 6).</t>
  </si>
  <si>
    <t>Kamu berhasil mengumpulkan suku-sukunya, hebat! Tapi p masih dikali 6. Lanjutkan!</t>
  </si>
  <si>
    <t>Menggabungkan 8 - 2p menjadi 6p (mengurangi suku tidak sejenis).</t>
  </si>
  <si>
    <t>8 dan 2p bukan suku sejenis: 8 bilangan biasa, 2p memuat p. Keduanya tidak bisa digabung jadi 6p.</t>
  </si>
  <si>
    <t>6k - 5 = 2k + 15</t>
  </si>
  <si>
    <t>k = 5</t>
  </si>
  <si>
    <t>6k - 2k = 15 - 5: memindah - 5 tanpa mengubah tanda.</t>
  </si>
  <si>
    <t>Saat - 5 pindah ke ruas kanan, tandanya berubah. Coba lagi langkah pemindahanmu.</t>
  </si>
  <si>
    <t>1,25</t>
  </si>
  <si>
    <t>6k + 2k = 15 - 5: memindah 2k dan - 5 tanpa mengubah tanda.</t>
  </si>
  <si>
    <t>Saat suku pindah ruas, tandanya berubah. Periksa lagi tanda 2k dan 5 setelah dipindah.</t>
  </si>
  <si>
    <t>Berhenti di 4k = 20 (belum dibagi 4).</t>
  </si>
  <si>
    <t>Kamu berhasil mengumpulkan suku-sukunya, hebat! Tapi k masih dikali 4. Lanjutkan!</t>
  </si>
  <si>
    <t>80</t>
  </si>
  <si>
    <t>Mengalikan 20 x 4 (bukan membagi).</t>
  </si>
  <si>
    <t>4k artinya 4 kali k. Supaya k sendirian, operasi apa yang berlawanan dengan kali?</t>
  </si>
  <si>
    <t>4 atau 6</t>
  </si>
  <si>
    <t>Langkah benar (20 : 4), tetapi hasil bagi salah hitung.</t>
  </si>
  <si>
    <t>Langkahmu sudah tepat! Tinggal teliti hasil pembagian 20 : 4.</t>
  </si>
  <si>
    <t>(1/2)x + 3 = (1/4)x + 5</t>
  </si>
  <si>
    <t>0,5</t>
  </si>
  <si>
    <t>Mengalikan 2 x 1/4: memakai pecahan yang sama, bukan kebalikannya.</t>
  </si>
  <si>
    <t>Koefisien x adalah 1/4. Supaya x sendirian, kalikan dengan KEBALIKAN dari 1/4.</t>
  </si>
  <si>
    <t>Mengurangkan 1/2 - 1/4 dengan mengurangi penyebut (1/(2-4) = -1/2), sehingga - 1/2 x = 2.</t>
  </si>
  <si>
    <t>Mengurangi pecahan tidak dilakukan pada penyebutnya! Samakan penyebutnya dulu (jadikan perempat), baru kurangi pembilangnya.</t>
  </si>
  <si>
    <t>8/3 (≈ 2,67)</t>
  </si>
  <si>
    <t>1/2 x + 1/4 x = 2: memindah 1/4 x tanpa mengubah tanda.</t>
  </si>
  <si>
    <t>Saat 1/4 x pindah ke ruas kiri, tandanya juga berubah. + 1/4 x di kanan menjadi ... di kiri.</t>
  </si>
  <si>
    <t>32</t>
  </si>
  <si>
    <t>1/2 x - 1/4 x = 5 + 3: memindah + 3 tanpa mengubah tanda.</t>
  </si>
  <si>
    <t>Saat + 3 pindah ke ruas kanan, tandanya berubah. + 3 di kiri menjadi ... di kanan.</t>
  </si>
  <si>
    <t>Berhenti di 1/4 x = 2 (belum dikali 4).</t>
  </si>
  <si>
    <t>Kamu berhasil mengumpulkan suku-sukunya, hebat! Tapi x masih dikali 1/4. Lanjutkan!</t>
  </si>
  <si>
    <t>5(n - 1) = 3(n + 3)</t>
  </si>
  <si>
    <t>n = 7</t>
  </si>
  <si>
    <t>Membuka 5(n - 1) menjadi 5n - 1: angka 1 tidak ikut dikali 5.</t>
  </si>
  <si>
    <t>Membuka 3(n + 3) menjadi 3n + 3: angka 3 (kedua) tidak ikut dikali 3.</t>
  </si>
  <si>
    <t>Membuka 5(n - 1) menjadi 5n + 5: tanda negatif hilang saat dikali.</t>
  </si>
  <si>
    <t>Periksa tanda saat membuka kurung: 5 x (-1) hasilnya positif atau negatif?</t>
  </si>
  <si>
    <t>5n + 3n = 9 - 5: memindah 3n dan - 5 tanpa mengubah tanda.</t>
  </si>
  <si>
    <t>Saat suku pindah ruas, tandanya berubah. Periksa lagi tanda 3n dan 5 setelah dipindah.</t>
  </si>
  <si>
    <t>Langkah benar (14 : 2), tetapi hasil bagi salah hitung.</t>
  </si>
  <si>
    <t>Langkahmu sudah tepat! Tinggal teliti hasil pembagian 14 : 2.</t>
  </si>
  <si>
    <t>9x - (2x + 5) = 3x + 11</t>
  </si>
  <si>
    <t>1,5</t>
  </si>
  <si>
    <t>Membuka -(2x + 5) menjadi - 2x + 5: tanda pada 5 tidak berubah.</t>
  </si>
  <si>
    <t>Tanda minus di depan kurung berlaku untuk SEMUA isi kurung, termasuk 5. Coba buka kurung sekali lagi.</t>
  </si>
  <si>
    <t>Membuka -(2x + 5) menjadi + 2x - 5: tanda pada 2x tidak berubah.</t>
  </si>
  <si>
    <t>Tanda minus di depan kurung berlaku untuk SEMUA isi kurung, termasuk 2x. Coba buka kurung sekali lagi.</t>
  </si>
  <si>
    <t>Berhenti di 4x = 16 (belum dibagi 4).</t>
  </si>
  <si>
    <t>Kamu berhasil mengumpulkan suku-sukunya, hebat! Tapi x masih dikali 4. Lanjutkan!</t>
  </si>
  <si>
    <t>Langkah benar (16 : 4), tetapi hasil bagi salah hitung.</t>
  </si>
  <si>
    <t>Langkahmu sudah tepat! Tinggal teliti hasil pembagian 16 : 4.</t>
  </si>
  <si>
    <t>4(2z - 1) = 2(3z + 5)</t>
  </si>
  <si>
    <t>z = 7</t>
  </si>
  <si>
    <t>5,5</t>
  </si>
  <si>
    <t>Membuka 4(2z - 1) menjadi 8z - 1: angka 1 tidak ikut dikali 4.</t>
  </si>
  <si>
    <t>Membuka 2(3z + 5) menjadi 6z + 5: angka 5 tidak ikut dikali 2.</t>
  </si>
  <si>
    <t>Membuka 4(2z - 1) menjadi 8z + 4: tanda negatif hilang saat dikali.</t>
  </si>
  <si>
    <t>Periksa tanda saat membuka kurung: 4 x (-1) hasilnya positif atau negatif?</t>
  </si>
  <si>
    <t>8z + 6z - 4 = 10: memindah 6z tanpa mengubah tanda.</t>
  </si>
  <si>
    <t>Saat 6z pindah ke ruas kiri, tandanya berubah. + 6z di kanan menjadi ... di kiri.</t>
  </si>
  <si>
    <t>Berhenti di 2z = 14 (belum dibagi 2).</t>
  </si>
  <si>
    <t>Kamu berhasil mengumpulkan suku-sukunya, hebat! Tapi z masih dikali 2. Lanjutkan!</t>
  </si>
  <si>
    <t>Ch 5 - Soal Cerita Etnomatematika</t>
  </si>
  <si>
    <t>(Kain Batik Parang - Jawa) Harga 3 lembar kain batik Parang setelah mendapat diskon voucher Rp20.000,00 adalah Rp250.000,00. Berapakah harga awal 1 lembar kain batik Parang?</t>
  </si>
  <si>
    <t>Rp90.000,00</t>
  </si>
  <si>
    <t>MP</t>
  </si>
  <si>
    <t>Model persamaan salah (soal cerita)</t>
  </si>
  <si>
    <t>Rp83.333,33</t>
  </si>
  <si>
    <t>Mengabaikan diskon: 250.000 : 3.</t>
  </si>
  <si>
    <t>Baca lagi: Rp250.000 adalah harga SETELAH diskon, jadi harga awalnya lebih tinggi. Bagaimana menulis 'harga awal 3 lembar dikurangi diskon = 250.000' sebagai persamaan?</t>
  </si>
  <si>
    <t>Rp76.666,67</t>
  </si>
  <si>
    <t>Mengurangi diskon dari harga akhir: (250.000 - 20.000) : 3.</t>
  </si>
  <si>
    <t>Harga setelah diskon lebih murah dari harga awal. Untuk kembali ke harga awal, diskon harus diapakan, dikurangi lagi atau dikembalikan?</t>
  </si>
  <si>
    <t>Rp103.333,33</t>
  </si>
  <si>
    <t>Menganggap diskon berlaku per lembar: x - 20.000 = 250.000 : 3.</t>
  </si>
  <si>
    <t>Diskon Rp20.000 berlaku untuk seluruh pembelian (3 lembar), bukan tiap lembar. Di bagian mana persamaanmu seharusnya diskon itu ditulis?</t>
  </si>
  <si>
    <t>Rp270.000</t>
  </si>
  <si>
    <t>Berhenti di 3x = 270.000 (harga awal 3 lembar), lupa membagi 3.</t>
  </si>
  <si>
    <t>Bagus, persamaanmu sudah benar! Tapi 270.000 itu harga awal untuk 3 lembar. Yang ditanyakan adalah harga awal 1 lembar.</t>
  </si>
  <si>
    <t>(Candi Borobudur - Jawa Tengah) Jumlah batu pada tingkatan bawah 15 buah lebih banyak daripada tingkatan atas. Jika total batu kedua tingkatan 85 buah, berapakah jumlah batu pada tingkatan atas?</t>
  </si>
  <si>
    <t>35 batu</t>
  </si>
  <si>
    <t>42,5</t>
  </si>
  <si>
    <t>Membagi total 85 : 2: menganggap kedua tingkatan sama banyak.</t>
  </si>
  <si>
    <t>Kedua tingkatan tidak sama banyak! Tingkatan bawah punya 15 batu lebih. Jika atas = x, bagaimana menuliskan batu tingkat bawah?</t>
  </si>
  <si>
    <t>PT</t>
  </si>
  <si>
    <t>Menjawab besaran lain</t>
  </si>
  <si>
    <t>Menjawab jumlah batu tingkat bawah, atau memodelkan atas = bawah + 15.</t>
  </si>
  <si>
    <t>Periksa pertanyaannya: yang dicari tingkatan atas atau bawah? Cek juga siapa yang lebih banyak, atas atau bawah?</t>
  </si>
  <si>
    <t>70</t>
  </si>
  <si>
    <t>Berhenti di 2x = 70 (belum dibagi 2).</t>
  </si>
  <si>
    <t>Kamu sudah mengurus + 15, bagus! Tapi 2x bukan jawabannya: x masih dikali 2. Lanjutkan!</t>
  </si>
  <si>
    <t>(Angklung - Jawa Barat) Harga angklung besar Rp15.000,00 lebih mahal daripada angklung kecil. Pembeli membayar Rp105.000,00 untuk 2 angklung kecil dan 1 angklung besar. Berapakah harga 1 angklung kecil?</t>
  </si>
  <si>
    <t>Rp30.000,00</t>
  </si>
  <si>
    <t>Rp45.000</t>
  </si>
  <si>
    <t>Menjawab harga angklung besar (x + 15.000).</t>
  </si>
  <si>
    <t>Kamu sudah menemukan harga salah satu angklung, tetapi periksa pertanyaannya: yang ditanyakan angklung kecil atau besar?</t>
  </si>
  <si>
    <t>Rp35.000</t>
  </si>
  <si>
    <t>Membagi 105.000 : 3: menganggap ketiga angklung berharga sama.</t>
  </si>
  <si>
    <t>Angklung besar tidak sama harganya dengan yang kecil (lebih mahal Rp15.000). Jangan abaikan selisih itu saat menyusun persamaan.</t>
  </si>
  <si>
    <t>Rp25.000</t>
  </si>
  <si>
    <t>Menuliskan 2(x + 15.000) + x = 105.000: bagian yang dikali 2 tertukar.</t>
  </si>
  <si>
    <t>Pembeli membeli 2 angklung KECIL dan 1 angklung BESAR. Cek lagi bagian mana yang dikali 2.</t>
  </si>
  <si>
    <t>Rp40.000</t>
  </si>
  <si>
    <t>Menambah selisih: (105.000 + 15.000) : 3.</t>
  </si>
  <si>
    <t>Selisih Rp15.000 hanya ada pada angklung besar. Dari total, selisih itu harus disingkirkan dulu (dikurangi), bukan ditambah.</t>
  </si>
  <si>
    <t>Rp90.000</t>
  </si>
  <si>
    <t>Berhenti di 3x = 90.000 (belum dibagi 3).</t>
  </si>
  <si>
    <t>Bagus, persamaanmu sudah benar! Tapi 90.000 itu untuk 3 angklung kecil. Berapa harga 1 angklung kecil?</t>
  </si>
  <si>
    <t>(Rumah Gadang - Sumatra Barat) Ukiran dinding berbentuk persegipanjang dengan panjang (2x + 3) cm dan lebar x cm. Jika kelilingnya 54 cm, berapakah nilai x?</t>
  </si>
  <si>
    <t>Memakai keliling = p + l (lupa dikali 2).</t>
  </si>
  <si>
    <t>Keliling persegipanjang = 2 x (panjang + lebar). Tulis ulang persamaanmu dengan rumus keliling yang lengkap.</t>
  </si>
  <si>
    <t>9,6</t>
  </si>
  <si>
    <t>Memakai keliling = 2p + l (angka 2 hanya mengalikan panjang).</t>
  </si>
  <si>
    <t>Pada keliling = 2 x (panjang + lebar), angka 2 mengalikan KEDUANYA. Periksa tanda kurung di persamaanmu.</t>
  </si>
  <si>
    <t>8,5</t>
  </si>
  <si>
    <t>Membuka 2(3x + 3) menjadi 6x + 3: angka 3 tidak ikut dikali 2.</t>
  </si>
  <si>
    <t>Angka 2 di depan kurung harus mengalikan kedua suku di dalamnya, termasuk 3.</t>
  </si>
  <si>
    <t>Berhenti di 3x = 24 (belum dibagi 3).</t>
  </si>
  <si>
    <t>Persamaanmu sudah benar dan hampir selesai! Tapi x masih dikali 3. Lanjutkan!</t>
  </si>
  <si>
    <t>(Kue Lupis - Jawa) Ibu membeli 5 bungkus kue lupis dan menyerahkan Rp50.000,00. Kembaliannya Rp15.000,00. Berapakah harga 1 bungkus kue lupis?</t>
  </si>
  <si>
    <t>Rp7.000,00</t>
  </si>
  <si>
    <t>Rp13.000</t>
  </si>
  <si>
    <t>Menambah kembalian: (50.000 + 15.000) : 5.</t>
  </si>
  <si>
    <t>Uang Rp50.000 diserahkan, lalu sebagian kembali. Jadi harga 5 bungkus = uang yang diberikan ... kembalian. Tulis ulang persamaanmu.</t>
  </si>
  <si>
    <t>Rp10.000</t>
  </si>
  <si>
    <t>Mengabaikan kembalian: 50.000 : 5.</t>
  </si>
  <si>
    <t>Ibu tidak menghabiskan seluruh Rp50.000: ada kembalian Rp15.000. Masukkan kembalian itu ke persamaanmu.</t>
  </si>
  <si>
    <t>Rp3.000</t>
  </si>
  <si>
    <t>Hanya memakai kembalian: 15.000 : 5.</t>
  </si>
  <si>
    <t>Rp15.000 itu uang kembalian, bukan harga kue. Harga kue adalah uang yang benar-benar dibayarkan. Berapa itu?</t>
  </si>
  <si>
    <t>Berhenti di 5x = 35.000 (harga 5 bungkus), lupa membagi 5.</t>
  </si>
  <si>
    <t>Bagus, persamaanmu sudah benar! Tapi 35.000 itu harga 5 bungkus. Yang ditanyakan harga 1 bungkus.</t>
  </si>
  <si>
    <t>Rp6.000 atau Rp8.000</t>
  </si>
  <si>
    <t>Langkah benar (35.000 : 5), tetapi hasil bagi salah hitung.</t>
  </si>
  <si>
    <t>Langkahmu sudah tepat! Tinggal teliti hasil pembagian 35.000 : 5.</t>
  </si>
  <si>
    <t>(Keris - Nusantara) Panjang keris Luk 5 adalah 8 cm lebih panjang daripada keris Luk 3. Total panjang kedua keris berdampingan 72 cm. Berapakah panjang keris Luk 3?</t>
  </si>
  <si>
    <t>32 cm</t>
  </si>
  <si>
    <t>Membagi total 72 : 2: menganggap kedua keris sama panjang.</t>
  </si>
  <si>
    <t>Keris Luk 5 lebih panjang 8 cm daripada Luk 3. Jika Luk 3 = x, bagaimana menuliskan panjang Luk 5?</t>
  </si>
  <si>
    <t>40</t>
  </si>
  <si>
    <t>Menjawab panjang keris Luk 5, atau memodelkan Luk 3 = Luk 5 + 8.</t>
  </si>
  <si>
    <t>Periksa pertanyaannya: yang dicari Luk 3 atau Luk 5? Dan siapa yang lebih panjang?</t>
  </si>
  <si>
    <t>64</t>
  </si>
  <si>
    <t>Berhenti di 2x = 64 (belum dibagi 2).</t>
  </si>
  <si>
    <t>Persamaanmu sudah benar dan hampir selesai! Tapi x masih dikali 2. Lanjutkan!</t>
  </si>
  <si>
    <t>31 atau 33</t>
  </si>
  <si>
    <t>Langkah benar (64 : 2), tetapi hasil bagi salah hitung.</t>
  </si>
  <si>
    <t>Langkahmu sudah tepat! Tinggal teliti hasil pembagian 64 : 2.</t>
  </si>
  <si>
    <t>(Congklak) Biji Budi 3 kali lipat biji Ani. Jika Budi memberikan 10 biji kepada Ani, jumlah biji mereka sama banyak. Berapakah jumlah biji Ani pada awal permainan?</t>
  </si>
  <si>
    <t>10 biji</t>
  </si>
  <si>
    <t>30</t>
  </si>
  <si>
    <t>Menjawab banyak biji Budi sebelum memberi (3x).</t>
  </si>
  <si>
    <t>Kamu sudah menemukan x dengan benar! Tapi periksa pertanyaannya: yang ditanyakan biji Ani atau biji Budi?</t>
  </si>
  <si>
    <t>Menulis 3x - 10 = x: lupa bahwa Ani menerima 10 biji.</t>
  </si>
  <si>
    <t>Saat Budi memberi 10 biji, biji Ani juga berubah. Bagaimana menuliskan biji Ani setelah menerima 10?</t>
  </si>
  <si>
    <t>-10</t>
  </si>
  <si>
    <t>Menulis 3x + 10 = x - 10: pemberi dan penerima tertukar.</t>
  </si>
  <si>
    <t>Budi yang MEMBERI 10 biji (berkurang), Ani yang MENERIMA (bertambah). Periksa tanda pada kedua ruas persamaanmu.</t>
  </si>
  <si>
    <t>Berhenti di 2x = 20 (belum dibagi 2).</t>
  </si>
  <si>
    <t>(Kain Ulos - Sumatra Utara) Dua lembar Ulos (standar dan super) dijual total Rp450.000,00. Harga Ulos super Rp90.000,00 lebih mahal daripada standar. Berapakah harga Ulos standar?</t>
  </si>
  <si>
    <t>Rp180.000,00</t>
  </si>
  <si>
    <t>Menjawab harga Ulos super, atau memodelkan standar = super + 90.000.</t>
  </si>
  <si>
    <t>Periksa pertanyaannya: yang dicari Ulos standar atau super? Dan mana yang lebih mahal?</t>
  </si>
  <si>
    <t>Rp225.000</t>
  </si>
  <si>
    <t>Membagi total 450.000 : 2: menganggap kedua Ulos berharga sama.</t>
  </si>
  <si>
    <t>Ulos super lebih mahal Rp90.000. Jika Ulos standar = x, bagaimana menuliskan harga Ulos super?</t>
  </si>
  <si>
    <t>Rp360.000</t>
  </si>
  <si>
    <t>Berhenti di 2x = 360.000 (belum dibagi 2).</t>
  </si>
  <si>
    <t>Rp170.000 atau Rp190.000</t>
  </si>
  <si>
    <t>Langkah benar (360.000 : 2), tetapi hasil bagi salah hitung.</t>
  </si>
  <si>
    <t>Langkahmu sudah tepat! Tinggal teliti hasil pembagian 360.000 : 2.</t>
  </si>
  <si>
    <t>(Tari Piring - Sumatra Barat) Piring cadangan adalah 1/4 dari jumlah piring utama yang dipegang penari. Jika seluruh piring ada 25 buah, berapakah jumlah piring utama?</t>
  </si>
  <si>
    <t>20 piring</t>
  </si>
  <si>
    <t>Menjawab jumlah piring cadangan (x : 4).</t>
  </si>
  <si>
    <t>Kamu sudah menemukan jumlah salah satu jenis piring! Periksa pertanyaannya: piring utama atau piring cadangan?</t>
  </si>
  <si>
    <t>6,25</t>
  </si>
  <si>
    <t>Menghitung 25 : 4: menganggap cadangan = 1/4 dari SELURUH piring.</t>
  </si>
  <si>
    <t>Piring cadangan adalah 1/4 dari piring UTAMA, bukan dari seluruh piring. Jika utama = x, bagaimana menuliskan cadangan?</t>
  </si>
  <si>
    <t>18,75</t>
  </si>
  <si>
    <t>Menghitung utama = 25 - 25/4: cadangan dianggap 1/4 dari seluruh piring.</t>
  </si>
  <si>
    <t>100</t>
  </si>
  <si>
    <t>Menghitung 25 x 4: menganggap 25 adalah jumlah cadangan.</t>
  </si>
  <si>
    <t>25 adalah jumlah SELURUH piring (utama + cadangan). Tulis utama dan cadangan dalam x, lalu jumlahkan sama dengan 25.</t>
  </si>
  <si>
    <t>31,25</t>
  </si>
  <si>
    <t>Mengalikan 25 x 5/4: memakai pecahan yang sama, bukan kebalikannya.</t>
  </si>
  <si>
    <t>Koefisien x adalah 5/4. Supaya x sendirian, kalikan dengan KEBALIKAN dari 5/4.</t>
  </si>
  <si>
    <t>62,5</t>
  </si>
  <si>
    <t>Menjumlahkan x + 1/4 x sebagai 2/5 x (pembilang dan penyebut dijumlah terpisah).</t>
  </si>
  <si>
    <t>Hati-hati menjumlahkan: x + 1/4 x bukan 2/5 x. Ubah x menjadi 4/4 x dulu, baru jumlahkan pembilangnya.</t>
  </si>
  <si>
    <t>(Sekaten - Yogyakarta) Jumlah wajik merah 20 buah lebih sedikit dari dua kali jumlah wajik putih. Jika wajik merah 80 buah, berapakah jumlah wajik putih?</t>
  </si>
  <si>
    <t>50 buah</t>
  </si>
  <si>
    <t>Mengartikan 'lebih sedikit' sebagai penjumlahan: 2x + 20 = 80.</t>
  </si>
  <si>
    <t>'20 lebih sedikit dari dua kali' artinya dua kali x DIKURANGI 20. Tulis ulang persamaanmu.</t>
  </si>
  <si>
    <t>Berhenti di 2x = 100 (belum dibagi 2), atau melewatkan 'dua kali' (x - 20 = 80).</t>
  </si>
  <si>
    <t>Periksa persamaanmu: adakah 'dua kali' pada wajik putih? Dan kalau sudah, x masih dikali 2, lanjutkan!</t>
  </si>
  <si>
    <t>Menjawab banyak wajik merah (yang sudah diketahui di soal).</t>
  </si>
  <si>
    <t>80 adalah jumlah wajik merah dan itu sudah diketahui. Periksa pertanyaannya: yang dicari wajik putih atau merah?</t>
  </si>
  <si>
    <t>40 atau 60</t>
  </si>
  <si>
    <t>Langkah benar (2x = 100), tetapi hasil bagi salah hitung.</t>
  </si>
  <si>
    <t>Langkahmu sudah tepat! Tinggal teliti hasil pembagian 100 : 2.</t>
  </si>
  <si>
    <t>Ciri Kesalahan</t>
  </si>
  <si>
    <t>Jumlah Baris di Bank</t>
  </si>
  <si>
    <t>Memakai operasi yang sama (mengulang + atau -) atau salah memilih operasi lawan untuk menyingkirkan suku.</t>
  </si>
  <si>
    <t>Tanda negatif hilang, salah menentukan hasil positif atau negatif, atau urutan pengurangan terbalik.</t>
  </si>
  <si>
    <t>Langkah penyelesaian benar, tetapi hasil aritmetika salah.</t>
  </si>
  <si>
    <t>Mengalikan padahal harus membagi (atau sebaliknya), atau membagi dengan urutan terbalik.</t>
  </si>
  <si>
    <t>Berhenti di tengah jalan (misalnya 2x = 12) dan menjawab dengan hasil antara.</t>
  </si>
  <si>
    <t>Salah mengolah pecahan atau desimal: letak koma, menjumlah pecahan, atau mengabaikan pecahan.</t>
  </si>
  <si>
    <t>Membagi atau mengalikan hanya satu suku, bukan seluruh ruas.</t>
  </si>
  <si>
    <t>Angka di depan kurung tidak dikalikan ke semua suku, atau tanda salah saat membuka kurung.</t>
  </si>
  <si>
    <t>Memindah suku ke ruas lain tanpa mengubah tandanya.</t>
  </si>
  <si>
    <t>Menggabungkan konstanta dengan suku variabel, atau salah membaca urutan operasi pada bentuk aljabar.</t>
  </si>
  <si>
    <t>Salah menerjemahkan kalimat cerita menjadi persamaan: mengabaikan selisih, salah arah, atau salah rumus.</t>
  </si>
  <si>
    <t>Persamaan benar, tetapi yang dijawab bukan besaran yang ditanyakan.</t>
  </si>
  <si>
    <t>Total</t>
  </si>
  <si>
    <t>Kapan Dipakai</t>
  </si>
  <si>
    <t>Feedback Cadangan (Umum / Netral)</t>
  </si>
  <si>
    <t>Jawaban salah dan tidak ada di Bank Feedback</t>
  </si>
  <si>
    <t>Coba periksa kembali langkah pengerjaanmu dari awal. Apakah ada operasi atau perhitungan yang keliru?</t>
  </si>
  <si>
    <t>Alternatif (jawaban salah berikutnya yang juga tidak ada di bank, pada soal yang sama)</t>
  </si>
  <si>
    <t>Belum tepat. Coba masukkan jawabanmu ke persamaan: apakah ruas kiri dan ruas kanan bernilai sama? Kalau belum, tulis ulang langkahmu satu per satu.</t>
  </si>
  <si>
    <t>Catatan</t>
  </si>
  <si>
    <t>Feedback ini sengaja tidak menyebut jenis kesalahan tertentu, karena sistem belum dapat mengidentifikasi penyebab jawaban yang tidak terdaftar. Baris alternatif bersifat opsional, hapus jika tidak diperlukan.</t>
  </si>
  <si>
    <t>Catatan Bank Kesalahan dan Feedback SOLVOX</t>
  </si>
  <si>
    <t>Keputusan pada dokumen soal</t>
  </si>
  <si>
    <t>Soal 19: kunci yang dipakai adalah n = -20, sehingga soal dibaca -(3/4)n = 15. Teks soal di dokumen SOAL SOAL SOLVOX perlu diberi tanda minus di depan 3/4 agar cocok dengan kunci dan pembahasan.</t>
  </si>
  <si>
    <t>Soal 7 (k + 1/2 = 3): jawaban benar diterima dalam bentuk 5/2 dan 2,5.</t>
  </si>
  <si>
    <t>Cara memakai bank ini di game</t>
  </si>
  <si>
    <t>Kolom G (Jawaban Salah yang Mungkin) adalah nilai yang dimasukkan siswa lewat keypad. Jika jawaban siswa sama dengan salah satu nilai di kolom G, tampilkan feedback di kolom I pada baris itu.</t>
  </si>
  <si>
    <t>Jika jawaban siswa tidak ada di bank, tampilkan Feedback Cadangan yang umum dan netral (sheet Feedback Cadangan), bukan feedback jenis kesalahan tertentu, karena sistem belum dapat mengidentifikasi penyebabnya. Catat jawaban yang tidak terdaftar itu di log pengerjaan.</t>
  </si>
  <si>
    <t>Jika satu nilai salah dapat muncul dari dua penyebab, bank hanya memakai satu baris per nilai. Contoh: soal 42, 46, dan 48 menggabungkan 'menjawab besaran lain' dengan 'memodelkan terbalik', dan soal 50 menggabungkan 'berhenti di 2x = 100' dengan 'melewatkan dua kali'. Feedback pada baris itu ditulis agar tetap cocok untuk kedua penyebab.</t>
  </si>
  <si>
    <t>Feedback sengaja tidak memuat jawaban benar. Fungsinya menunjuk ke letak kesalahan dan memancing siswa memperbaiki sendiri, sehingga tetap ada ruang bagi fitur Hint bertingkat.</t>
  </si>
  <si>
    <t>Nilai pada kolom G memakai koma desimal gaya Indonesia. Pecahan yang tidak berhingga ditulis sebagai a/b beserta perkiraan desimalnya, misalnya 12/7 (kira-kira 1,71). Pastikan pencocokan di game membandingkan nilai numerik, bukan teks.</t>
  </si>
  <si>
    <t>Batasan</t>
  </si>
  <si>
    <t>Semua jawaban salah dan cara berpikir pada bank ini adalah dugaan berdasarkan pola miskonsepsi aljabar yang umum (salah tanda, salah memindah ruas, salah membuka kurung, salah memodelkan soal cerita, dan sebagainya). Belum ada data siswa yang mengonfirmasinya.</t>
  </si>
  <si>
    <t>Saat uji coba dengan siswa, periksa jawaban salah yang paling sering muncul tetapi belum ada di bank, lalu tambahkan sebagai baris baru. Dengan begitu bank ini makin akurat dan bisa dipakai sebagai bukti analisis kesalahan pada laporan lomba atau 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</si>
</sst>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color rgb="FFFFFFFF"/>
      <name val="Arial"/>
      <charset val="1"/>
    </font>
    <font>
      <sz val="10"/>
      <name val="Arial"/>
      <charset val="1"/>
    </font>
    <font>
      <b/>
      <sz val="10"/>
      <name val="Arial"/>
      <charset val="1"/>
    </font>
    <font>
      <b/>
      <sz val="12"/>
      <name val="Arial"/>
      <charset val="1"/>
    </font>
    <font>
      <b/>
      <sz val="10"/>
      <color rgb="FF1F3864"/>
      <name val="Arial"/>
      <charset val="1"/>
    </font>
  </fonts>
  <fills count="5">
    <fill>
      <patternFill patternType="none"/>
    </fill>
    <fill>
      <patternFill patternType="gray125"/>
    </fill>
    <fill>
      <patternFill patternType="solid">
        <fgColor rgb="FF1F3864"/>
        <bgColor rgb="FF333333"/>
      </patternFill>
    </fill>
    <fill>
      <patternFill patternType="solid">
        <fgColor rgb="FFEEF3FA"/>
        <bgColor rgb="FFFFFFFF"/>
      </patternFill>
    </fill>
    <fill>
      <patternFill patternType="solid">
        <fgColor rgb="FFFFFFFF"/>
        <bgColor rgb="FFEEF3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vertical="top" wrapText="1"/>
    </xf>
    <xf numFmtId="0" fontId="2" fillId="0" borderId="0" xfId="0" applyFont="1" applyAlignment="1">
      <alignment vertical="top" wrapText="1"/>
    </xf>
    <xf numFmtId="0" fontId="4" fillId="0" borderId="0" xfId="0" applyFont="1"/>
    <xf numFmtId="0" fontId="5" fillId="0" borderId="0" xfId="0" applyFont="1"/>
    <xf numFmtId="0" fontId="2" fillId="0" borderId="0" xfId="0" applyFont="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3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6"/>
  <sheetViews>
    <sheetView tabSelected="1" zoomScaleNormal="100" workbookViewId="0">
      <pane xSplit="3" ySplit="1" topLeftCell="D2" activePane="bottomRight" state="frozen"/>
      <selection pane="topRight" activeCell="D1" sqref="D1"/>
      <selection pane="bottomLeft" activeCell="A2" sqref="A2"/>
      <selection pane="bottomRight"/>
    </sheetView>
  </sheetViews>
  <sheetFormatPr defaultColWidth="8.6640625" defaultRowHeight="14.4" x14ac:dyDescent="0.3"/>
  <cols>
    <col min="1" max="1" width="8" customWidth="1"/>
    <col min="2" max="2" width="22" customWidth="1"/>
    <col min="3" max="3" width="34" customWidth="1"/>
    <col min="4" max="4" width="18" customWidth="1"/>
    <col min="5" max="5" width="7" customWidth="1"/>
    <col min="6" max="7" width="24" customWidth="1"/>
    <col min="8" max="8" width="42" customWidth="1"/>
    <col min="9" max="9" width="62" customWidth="1"/>
  </cols>
  <sheetData>
    <row r="1" spans="1:9" ht="31.5" customHeight="1" x14ac:dyDescent="0.3">
      <c r="A1" s="1" t="s">
        <v>0</v>
      </c>
      <c r="B1" s="1" t="s">
        <v>1</v>
      </c>
      <c r="C1" s="1" t="s">
        <v>2</v>
      </c>
      <c r="D1" s="1" t="s">
        <v>3</v>
      </c>
      <c r="E1" s="1" t="s">
        <v>4</v>
      </c>
      <c r="F1" s="1" t="s">
        <v>5</v>
      </c>
      <c r="G1" s="1" t="s">
        <v>6</v>
      </c>
      <c r="H1" s="1" t="s">
        <v>7</v>
      </c>
      <c r="I1" s="1" t="s">
        <v>8</v>
      </c>
    </row>
    <row r="2" spans="1:9" ht="26.4" x14ac:dyDescent="0.3">
      <c r="A2" s="2">
        <v>1</v>
      </c>
      <c r="B2" s="3" t="s">
        <v>9</v>
      </c>
      <c r="C2" s="3" t="s">
        <v>10</v>
      </c>
      <c r="D2" s="3" t="s">
        <v>11</v>
      </c>
      <c r="E2" s="2" t="s">
        <v>12</v>
      </c>
      <c r="F2" s="3" t="s">
        <v>13</v>
      </c>
      <c r="G2" s="4" t="s">
        <v>14</v>
      </c>
      <c r="H2" s="3" t="s">
        <v>15</v>
      </c>
      <c r="I2" s="3" t="s">
        <v>16</v>
      </c>
    </row>
    <row r="3" spans="1:9" ht="26.4" x14ac:dyDescent="0.3">
      <c r="A3" s="2">
        <v>1</v>
      </c>
      <c r="B3" s="3" t="s">
        <v>9</v>
      </c>
      <c r="C3" s="3" t="s">
        <v>10</v>
      </c>
      <c r="D3" s="3" t="s">
        <v>11</v>
      </c>
      <c r="E3" s="2" t="s">
        <v>17</v>
      </c>
      <c r="F3" s="3" t="s">
        <v>18</v>
      </c>
      <c r="G3" s="4" t="s">
        <v>19</v>
      </c>
      <c r="H3" s="3" t="s">
        <v>20</v>
      </c>
      <c r="I3" s="3" t="s">
        <v>21</v>
      </c>
    </row>
    <row r="4" spans="1:9" ht="26.4" x14ac:dyDescent="0.3">
      <c r="A4" s="2">
        <v>1</v>
      </c>
      <c r="B4" s="3" t="s">
        <v>9</v>
      </c>
      <c r="C4" s="3" t="s">
        <v>10</v>
      </c>
      <c r="D4" s="3" t="s">
        <v>11</v>
      </c>
      <c r="E4" s="2" t="s">
        <v>22</v>
      </c>
      <c r="F4" s="3" t="s">
        <v>23</v>
      </c>
      <c r="G4" s="4" t="s">
        <v>24</v>
      </c>
      <c r="H4" s="3" t="s">
        <v>25</v>
      </c>
      <c r="I4" s="3" t="s">
        <v>26</v>
      </c>
    </row>
    <row r="5" spans="1:9" ht="26.4" x14ac:dyDescent="0.3">
      <c r="A5" s="5">
        <v>2</v>
      </c>
      <c r="B5" s="6" t="s">
        <v>9</v>
      </c>
      <c r="C5" s="6" t="s">
        <v>27</v>
      </c>
      <c r="D5" s="6" t="s">
        <v>28</v>
      </c>
      <c r="E5" s="5" t="s">
        <v>12</v>
      </c>
      <c r="F5" s="6" t="s">
        <v>13</v>
      </c>
      <c r="G5" s="7" t="s">
        <v>29</v>
      </c>
      <c r="H5" s="6" t="s">
        <v>30</v>
      </c>
      <c r="I5" s="6" t="s">
        <v>31</v>
      </c>
    </row>
    <row r="6" spans="1:9" ht="39.6" x14ac:dyDescent="0.3">
      <c r="A6" s="5">
        <v>2</v>
      </c>
      <c r="B6" s="6" t="s">
        <v>9</v>
      </c>
      <c r="C6" s="6" t="s">
        <v>27</v>
      </c>
      <c r="D6" s="6" t="s">
        <v>28</v>
      </c>
      <c r="E6" s="5" t="s">
        <v>32</v>
      </c>
      <c r="F6" s="6" t="s">
        <v>33</v>
      </c>
      <c r="G6" s="7" t="s">
        <v>34</v>
      </c>
      <c r="H6" s="6" t="s">
        <v>35</v>
      </c>
      <c r="I6" s="6" t="s">
        <v>36</v>
      </c>
    </row>
    <row r="7" spans="1:9" ht="26.4" x14ac:dyDescent="0.3">
      <c r="A7" s="5">
        <v>2</v>
      </c>
      <c r="B7" s="6" t="s">
        <v>9</v>
      </c>
      <c r="C7" s="6" t="s">
        <v>27</v>
      </c>
      <c r="D7" s="6" t="s">
        <v>28</v>
      </c>
      <c r="E7" s="5" t="s">
        <v>17</v>
      </c>
      <c r="F7" s="6" t="s">
        <v>18</v>
      </c>
      <c r="G7" s="7" t="s">
        <v>37</v>
      </c>
      <c r="H7" s="6" t="s">
        <v>38</v>
      </c>
      <c r="I7" s="6" t="s">
        <v>39</v>
      </c>
    </row>
    <row r="8" spans="1:9" ht="26.4" x14ac:dyDescent="0.3">
      <c r="A8" s="2">
        <v>3</v>
      </c>
      <c r="B8" s="3" t="s">
        <v>9</v>
      </c>
      <c r="C8" s="3" t="s">
        <v>40</v>
      </c>
      <c r="D8" s="3" t="s">
        <v>41</v>
      </c>
      <c r="E8" s="2" t="s">
        <v>32</v>
      </c>
      <c r="F8" s="3" t="s">
        <v>33</v>
      </c>
      <c r="G8" s="4" t="s">
        <v>42</v>
      </c>
      <c r="H8" s="3" t="s">
        <v>43</v>
      </c>
      <c r="I8" s="3" t="s">
        <v>44</v>
      </c>
    </row>
    <row r="9" spans="1:9" ht="39.6" x14ac:dyDescent="0.3">
      <c r="A9" s="2">
        <v>3</v>
      </c>
      <c r="B9" s="3" t="s">
        <v>9</v>
      </c>
      <c r="C9" s="3" t="s">
        <v>40</v>
      </c>
      <c r="D9" s="3" t="s">
        <v>41</v>
      </c>
      <c r="E9" s="2" t="s">
        <v>12</v>
      </c>
      <c r="F9" s="3" t="s">
        <v>13</v>
      </c>
      <c r="G9" s="4" t="s">
        <v>45</v>
      </c>
      <c r="H9" s="3" t="s">
        <v>46</v>
      </c>
      <c r="I9" s="3" t="s">
        <v>47</v>
      </c>
    </row>
    <row r="10" spans="1:9" ht="26.4" x14ac:dyDescent="0.3">
      <c r="A10" s="2">
        <v>3</v>
      </c>
      <c r="B10" s="3" t="s">
        <v>9</v>
      </c>
      <c r="C10" s="3" t="s">
        <v>40</v>
      </c>
      <c r="D10" s="3" t="s">
        <v>41</v>
      </c>
      <c r="E10" s="2" t="s">
        <v>17</v>
      </c>
      <c r="F10" s="3" t="s">
        <v>18</v>
      </c>
      <c r="G10" s="4" t="s">
        <v>48</v>
      </c>
      <c r="H10" s="3" t="s">
        <v>49</v>
      </c>
      <c r="I10" s="3" t="s">
        <v>50</v>
      </c>
    </row>
    <row r="11" spans="1:9" ht="26.4" x14ac:dyDescent="0.3">
      <c r="A11" s="5">
        <v>4</v>
      </c>
      <c r="B11" s="6" t="s">
        <v>9</v>
      </c>
      <c r="C11" s="6" t="s">
        <v>51</v>
      </c>
      <c r="D11" s="6" t="s">
        <v>52</v>
      </c>
      <c r="E11" s="5" t="s">
        <v>12</v>
      </c>
      <c r="F11" s="6" t="s">
        <v>13</v>
      </c>
      <c r="G11" s="7" t="s">
        <v>53</v>
      </c>
      <c r="H11" s="6" t="s">
        <v>54</v>
      </c>
      <c r="I11" s="6" t="s">
        <v>55</v>
      </c>
    </row>
    <row r="12" spans="1:9" ht="26.4" x14ac:dyDescent="0.3">
      <c r="A12" s="5">
        <v>4</v>
      </c>
      <c r="B12" s="6" t="s">
        <v>9</v>
      </c>
      <c r="C12" s="6" t="s">
        <v>51</v>
      </c>
      <c r="D12" s="6" t="s">
        <v>52</v>
      </c>
      <c r="E12" s="5" t="s">
        <v>32</v>
      </c>
      <c r="F12" s="6" t="s">
        <v>33</v>
      </c>
      <c r="G12" s="7" t="s">
        <v>56</v>
      </c>
      <c r="H12" s="6" t="s">
        <v>57</v>
      </c>
      <c r="I12" s="6" t="s">
        <v>58</v>
      </c>
    </row>
    <row r="13" spans="1:9" ht="26.4" x14ac:dyDescent="0.3">
      <c r="A13" s="5">
        <v>4</v>
      </c>
      <c r="B13" s="6" t="s">
        <v>9</v>
      </c>
      <c r="C13" s="6" t="s">
        <v>51</v>
      </c>
      <c r="D13" s="6" t="s">
        <v>52</v>
      </c>
      <c r="E13" s="5" t="s">
        <v>32</v>
      </c>
      <c r="F13" s="6" t="s">
        <v>33</v>
      </c>
      <c r="G13" s="7" t="s">
        <v>59</v>
      </c>
      <c r="H13" s="6" t="s">
        <v>60</v>
      </c>
      <c r="I13" s="6" t="s">
        <v>61</v>
      </c>
    </row>
    <row r="14" spans="1:9" ht="26.4" x14ac:dyDescent="0.3">
      <c r="A14" s="2">
        <v>5</v>
      </c>
      <c r="B14" s="3" t="s">
        <v>9</v>
      </c>
      <c r="C14" s="3" t="s">
        <v>62</v>
      </c>
      <c r="D14" s="3" t="s">
        <v>63</v>
      </c>
      <c r="E14" s="2" t="s">
        <v>12</v>
      </c>
      <c r="F14" s="3" t="s">
        <v>13</v>
      </c>
      <c r="G14" s="4" t="s">
        <v>64</v>
      </c>
      <c r="H14" s="3" t="s">
        <v>65</v>
      </c>
      <c r="I14" s="3" t="s">
        <v>66</v>
      </c>
    </row>
    <row r="15" spans="1:9" ht="26.4" x14ac:dyDescent="0.3">
      <c r="A15" s="2">
        <v>5</v>
      </c>
      <c r="B15" s="3" t="s">
        <v>9</v>
      </c>
      <c r="C15" s="3" t="s">
        <v>62</v>
      </c>
      <c r="D15" s="3" t="s">
        <v>63</v>
      </c>
      <c r="E15" s="2" t="s">
        <v>32</v>
      </c>
      <c r="F15" s="3" t="s">
        <v>33</v>
      </c>
      <c r="G15" s="4" t="s">
        <v>67</v>
      </c>
      <c r="H15" s="3" t="s">
        <v>68</v>
      </c>
      <c r="I15" s="3" t="s">
        <v>69</v>
      </c>
    </row>
    <row r="16" spans="1:9" ht="26.4" x14ac:dyDescent="0.3">
      <c r="A16" s="2">
        <v>5</v>
      </c>
      <c r="B16" s="3" t="s">
        <v>9</v>
      </c>
      <c r="C16" s="3" t="s">
        <v>62</v>
      </c>
      <c r="D16" s="3" t="s">
        <v>63</v>
      </c>
      <c r="E16" s="2" t="s">
        <v>17</v>
      </c>
      <c r="F16" s="3" t="s">
        <v>18</v>
      </c>
      <c r="G16" s="4" t="s">
        <v>70</v>
      </c>
      <c r="H16" s="3" t="s">
        <v>71</v>
      </c>
      <c r="I16" s="3" t="s">
        <v>72</v>
      </c>
    </row>
    <row r="17" spans="1:9" ht="26.4" x14ac:dyDescent="0.3">
      <c r="A17" s="5">
        <v>6</v>
      </c>
      <c r="B17" s="6" t="s">
        <v>9</v>
      </c>
      <c r="C17" s="6" t="s">
        <v>73</v>
      </c>
      <c r="D17" s="6" t="s">
        <v>74</v>
      </c>
      <c r="E17" s="5" t="s">
        <v>12</v>
      </c>
      <c r="F17" s="6" t="s">
        <v>13</v>
      </c>
      <c r="G17" s="7" t="s">
        <v>75</v>
      </c>
      <c r="H17" s="6" t="s">
        <v>76</v>
      </c>
      <c r="I17" s="6" t="s">
        <v>77</v>
      </c>
    </row>
    <row r="18" spans="1:9" ht="39.6" x14ac:dyDescent="0.3">
      <c r="A18" s="5">
        <v>6</v>
      </c>
      <c r="B18" s="6" t="s">
        <v>9</v>
      </c>
      <c r="C18" s="6" t="s">
        <v>73</v>
      </c>
      <c r="D18" s="6" t="s">
        <v>74</v>
      </c>
      <c r="E18" s="5" t="s">
        <v>78</v>
      </c>
      <c r="F18" s="6" t="s">
        <v>79</v>
      </c>
      <c r="G18" s="7" t="s">
        <v>80</v>
      </c>
      <c r="H18" s="6" t="s">
        <v>81</v>
      </c>
      <c r="I18" s="6" t="s">
        <v>82</v>
      </c>
    </row>
    <row r="19" spans="1:9" ht="26.4" x14ac:dyDescent="0.3">
      <c r="A19" s="2">
        <v>7</v>
      </c>
      <c r="B19" s="3" t="s">
        <v>9</v>
      </c>
      <c r="C19" s="3" t="s">
        <v>83</v>
      </c>
      <c r="D19" s="3" t="s">
        <v>84</v>
      </c>
      <c r="E19" s="2" t="s">
        <v>12</v>
      </c>
      <c r="F19" s="3" t="s">
        <v>13</v>
      </c>
      <c r="G19" s="4" t="s">
        <v>85</v>
      </c>
      <c r="H19" s="3" t="s">
        <v>86</v>
      </c>
      <c r="I19" s="3" t="s">
        <v>87</v>
      </c>
    </row>
    <row r="20" spans="1:9" ht="26.4" x14ac:dyDescent="0.3">
      <c r="A20" s="2">
        <v>7</v>
      </c>
      <c r="B20" s="3" t="s">
        <v>9</v>
      </c>
      <c r="C20" s="3" t="s">
        <v>83</v>
      </c>
      <c r="D20" s="3" t="s">
        <v>84</v>
      </c>
      <c r="E20" s="2" t="s">
        <v>78</v>
      </c>
      <c r="F20" s="3" t="s">
        <v>79</v>
      </c>
      <c r="G20" s="4" t="s">
        <v>88</v>
      </c>
      <c r="H20" s="3" t="s">
        <v>89</v>
      </c>
      <c r="I20" s="3" t="s">
        <v>90</v>
      </c>
    </row>
    <row r="21" spans="1:9" ht="26.4" x14ac:dyDescent="0.3">
      <c r="A21" s="2">
        <v>7</v>
      </c>
      <c r="B21" s="3" t="s">
        <v>9</v>
      </c>
      <c r="C21" s="3" t="s">
        <v>83</v>
      </c>
      <c r="D21" s="3" t="s">
        <v>84</v>
      </c>
      <c r="E21" s="2" t="s">
        <v>78</v>
      </c>
      <c r="F21" s="3" t="s">
        <v>79</v>
      </c>
      <c r="G21" s="4" t="s">
        <v>91</v>
      </c>
      <c r="H21" s="3" t="s">
        <v>92</v>
      </c>
      <c r="I21" s="3" t="s">
        <v>93</v>
      </c>
    </row>
    <row r="22" spans="1:9" ht="26.4" x14ac:dyDescent="0.3">
      <c r="A22" s="5">
        <v>8</v>
      </c>
      <c r="B22" s="6" t="s">
        <v>9</v>
      </c>
      <c r="C22" s="6" t="s">
        <v>94</v>
      </c>
      <c r="D22" s="6" t="s">
        <v>95</v>
      </c>
      <c r="E22" s="5" t="s">
        <v>12</v>
      </c>
      <c r="F22" s="6" t="s">
        <v>13</v>
      </c>
      <c r="G22" s="7" t="s">
        <v>42</v>
      </c>
      <c r="H22" s="6" t="s">
        <v>96</v>
      </c>
      <c r="I22" s="6" t="s">
        <v>97</v>
      </c>
    </row>
    <row r="23" spans="1:9" ht="26.4" x14ac:dyDescent="0.3">
      <c r="A23" s="5">
        <v>8</v>
      </c>
      <c r="B23" s="6" t="s">
        <v>9</v>
      </c>
      <c r="C23" s="6" t="s">
        <v>94</v>
      </c>
      <c r="D23" s="6" t="s">
        <v>95</v>
      </c>
      <c r="E23" s="5" t="s">
        <v>32</v>
      </c>
      <c r="F23" s="6" t="s">
        <v>33</v>
      </c>
      <c r="G23" s="7" t="s">
        <v>98</v>
      </c>
      <c r="H23" s="6" t="s">
        <v>99</v>
      </c>
      <c r="I23" s="6" t="s">
        <v>100</v>
      </c>
    </row>
    <row r="24" spans="1:9" ht="26.4" x14ac:dyDescent="0.3">
      <c r="A24" s="5">
        <v>8</v>
      </c>
      <c r="B24" s="6" t="s">
        <v>9</v>
      </c>
      <c r="C24" s="6" t="s">
        <v>94</v>
      </c>
      <c r="D24" s="6" t="s">
        <v>95</v>
      </c>
      <c r="E24" s="5" t="s">
        <v>17</v>
      </c>
      <c r="F24" s="6" t="s">
        <v>18</v>
      </c>
      <c r="G24" s="7" t="s">
        <v>101</v>
      </c>
      <c r="H24" s="6" t="s">
        <v>102</v>
      </c>
      <c r="I24" s="6" t="s">
        <v>103</v>
      </c>
    </row>
    <row r="25" spans="1:9" ht="26.4" x14ac:dyDescent="0.3">
      <c r="A25" s="2">
        <v>9</v>
      </c>
      <c r="B25" s="3" t="s">
        <v>9</v>
      </c>
      <c r="C25" s="3" t="s">
        <v>104</v>
      </c>
      <c r="D25" s="3" t="s">
        <v>105</v>
      </c>
      <c r="E25" s="2" t="s">
        <v>12</v>
      </c>
      <c r="F25" s="3" t="s">
        <v>13</v>
      </c>
      <c r="G25" s="4" t="s">
        <v>106</v>
      </c>
      <c r="H25" s="3" t="s">
        <v>107</v>
      </c>
      <c r="I25" s="3" t="s">
        <v>108</v>
      </c>
    </row>
    <row r="26" spans="1:9" ht="26.4" x14ac:dyDescent="0.3">
      <c r="A26" s="2">
        <v>9</v>
      </c>
      <c r="B26" s="3" t="s">
        <v>9</v>
      </c>
      <c r="C26" s="3" t="s">
        <v>104</v>
      </c>
      <c r="D26" s="3" t="s">
        <v>105</v>
      </c>
      <c r="E26" s="2" t="s">
        <v>32</v>
      </c>
      <c r="F26" s="3" t="s">
        <v>33</v>
      </c>
      <c r="G26" s="4" t="s">
        <v>109</v>
      </c>
      <c r="H26" s="3" t="s">
        <v>110</v>
      </c>
      <c r="I26" s="3" t="s">
        <v>111</v>
      </c>
    </row>
    <row r="27" spans="1:9" ht="26.4" x14ac:dyDescent="0.3">
      <c r="A27" s="2">
        <v>9</v>
      </c>
      <c r="B27" s="3" t="s">
        <v>9</v>
      </c>
      <c r="C27" s="3" t="s">
        <v>104</v>
      </c>
      <c r="D27" s="3" t="s">
        <v>105</v>
      </c>
      <c r="E27" s="2" t="s">
        <v>32</v>
      </c>
      <c r="F27" s="3" t="s">
        <v>33</v>
      </c>
      <c r="G27" s="4" t="s">
        <v>112</v>
      </c>
      <c r="H27" s="3" t="s">
        <v>113</v>
      </c>
      <c r="I27" s="3" t="s">
        <v>114</v>
      </c>
    </row>
    <row r="28" spans="1:9" ht="26.4" x14ac:dyDescent="0.3">
      <c r="A28" s="2">
        <v>9</v>
      </c>
      <c r="B28" s="3" t="s">
        <v>9</v>
      </c>
      <c r="C28" s="3" t="s">
        <v>104</v>
      </c>
      <c r="D28" s="3" t="s">
        <v>105</v>
      </c>
      <c r="E28" s="2" t="s">
        <v>17</v>
      </c>
      <c r="F28" s="3" t="s">
        <v>18</v>
      </c>
      <c r="G28" s="4" t="s">
        <v>115</v>
      </c>
      <c r="H28" s="3" t="s">
        <v>116</v>
      </c>
      <c r="I28" s="3" t="s">
        <v>117</v>
      </c>
    </row>
    <row r="29" spans="1:9" ht="26.4" x14ac:dyDescent="0.3">
      <c r="A29" s="5">
        <v>10</v>
      </c>
      <c r="B29" s="6" t="s">
        <v>9</v>
      </c>
      <c r="C29" s="6" t="s">
        <v>118</v>
      </c>
      <c r="D29" s="6" t="s">
        <v>119</v>
      </c>
      <c r="E29" s="5" t="s">
        <v>32</v>
      </c>
      <c r="F29" s="6" t="s">
        <v>33</v>
      </c>
      <c r="G29" s="7" t="s">
        <v>120</v>
      </c>
      <c r="H29" s="6" t="s">
        <v>121</v>
      </c>
      <c r="I29" s="6" t="s">
        <v>122</v>
      </c>
    </row>
    <row r="30" spans="1:9" ht="26.4" x14ac:dyDescent="0.3">
      <c r="A30" s="5">
        <v>10</v>
      </c>
      <c r="B30" s="6" t="s">
        <v>9</v>
      </c>
      <c r="C30" s="6" t="s">
        <v>118</v>
      </c>
      <c r="D30" s="6" t="s">
        <v>119</v>
      </c>
      <c r="E30" s="5" t="s">
        <v>12</v>
      </c>
      <c r="F30" s="6" t="s">
        <v>13</v>
      </c>
      <c r="G30" s="7" t="s">
        <v>123</v>
      </c>
      <c r="H30" s="6" t="s">
        <v>124</v>
      </c>
      <c r="I30" s="6" t="s">
        <v>125</v>
      </c>
    </row>
    <row r="31" spans="1:9" ht="26.4" x14ac:dyDescent="0.3">
      <c r="A31" s="5">
        <v>10</v>
      </c>
      <c r="B31" s="6" t="s">
        <v>9</v>
      </c>
      <c r="C31" s="6" t="s">
        <v>118</v>
      </c>
      <c r="D31" s="6" t="s">
        <v>119</v>
      </c>
      <c r="E31" s="5" t="s">
        <v>17</v>
      </c>
      <c r="F31" s="6" t="s">
        <v>18</v>
      </c>
      <c r="G31" s="7" t="s">
        <v>126</v>
      </c>
      <c r="H31" s="6" t="s">
        <v>127</v>
      </c>
      <c r="I31" s="6" t="s">
        <v>128</v>
      </c>
    </row>
    <row r="32" spans="1:9" ht="26.4" x14ac:dyDescent="0.3">
      <c r="A32" s="2">
        <v>11</v>
      </c>
      <c r="B32" s="3" t="s">
        <v>129</v>
      </c>
      <c r="C32" s="3" t="s">
        <v>130</v>
      </c>
      <c r="D32" s="3" t="s">
        <v>131</v>
      </c>
      <c r="E32" s="2" t="s">
        <v>132</v>
      </c>
      <c r="F32" s="3" t="s">
        <v>133</v>
      </c>
      <c r="G32" s="4" t="s">
        <v>134</v>
      </c>
      <c r="H32" s="3" t="s">
        <v>135</v>
      </c>
      <c r="I32" s="3" t="s">
        <v>136</v>
      </c>
    </row>
    <row r="33" spans="1:9" ht="26.4" x14ac:dyDescent="0.3">
      <c r="A33" s="2">
        <v>11</v>
      </c>
      <c r="B33" s="3" t="s">
        <v>129</v>
      </c>
      <c r="C33" s="3" t="s">
        <v>130</v>
      </c>
      <c r="D33" s="3" t="s">
        <v>131</v>
      </c>
      <c r="E33" s="2" t="s">
        <v>132</v>
      </c>
      <c r="F33" s="3" t="s">
        <v>133</v>
      </c>
      <c r="G33" s="4" t="s">
        <v>137</v>
      </c>
      <c r="H33" s="3" t="s">
        <v>138</v>
      </c>
      <c r="I33" s="3" t="s">
        <v>139</v>
      </c>
    </row>
    <row r="34" spans="1:9" ht="26.4" x14ac:dyDescent="0.3">
      <c r="A34" s="2">
        <v>11</v>
      </c>
      <c r="B34" s="3" t="s">
        <v>129</v>
      </c>
      <c r="C34" s="3" t="s">
        <v>130</v>
      </c>
      <c r="D34" s="3" t="s">
        <v>131</v>
      </c>
      <c r="E34" s="2" t="s">
        <v>12</v>
      </c>
      <c r="F34" s="3" t="s">
        <v>13</v>
      </c>
      <c r="G34" s="4" t="s">
        <v>140</v>
      </c>
      <c r="H34" s="3" t="s">
        <v>141</v>
      </c>
      <c r="I34" s="3" t="s">
        <v>142</v>
      </c>
    </row>
    <row r="35" spans="1:9" ht="26.4" x14ac:dyDescent="0.3">
      <c r="A35" s="2">
        <v>11</v>
      </c>
      <c r="B35" s="3" t="s">
        <v>129</v>
      </c>
      <c r="C35" s="3" t="s">
        <v>130</v>
      </c>
      <c r="D35" s="3" t="s">
        <v>131</v>
      </c>
      <c r="E35" s="2" t="s">
        <v>17</v>
      </c>
      <c r="F35" s="3" t="s">
        <v>18</v>
      </c>
      <c r="G35" s="4" t="s">
        <v>143</v>
      </c>
      <c r="H35" s="3" t="s">
        <v>144</v>
      </c>
      <c r="I35" s="3" t="s">
        <v>145</v>
      </c>
    </row>
    <row r="36" spans="1:9" ht="26.4" x14ac:dyDescent="0.3">
      <c r="A36" s="5">
        <v>12</v>
      </c>
      <c r="B36" s="6" t="s">
        <v>129</v>
      </c>
      <c r="C36" s="6" t="s">
        <v>146</v>
      </c>
      <c r="D36" s="6" t="s">
        <v>147</v>
      </c>
      <c r="E36" s="5" t="s">
        <v>32</v>
      </c>
      <c r="F36" s="6" t="s">
        <v>33</v>
      </c>
      <c r="G36" s="7" t="s">
        <v>42</v>
      </c>
      <c r="H36" s="6" t="s">
        <v>148</v>
      </c>
      <c r="I36" s="6" t="s">
        <v>149</v>
      </c>
    </row>
    <row r="37" spans="1:9" ht="26.4" x14ac:dyDescent="0.3">
      <c r="A37" s="5">
        <v>12</v>
      </c>
      <c r="B37" s="6" t="s">
        <v>129</v>
      </c>
      <c r="C37" s="6" t="s">
        <v>146</v>
      </c>
      <c r="D37" s="6" t="s">
        <v>147</v>
      </c>
      <c r="E37" s="5" t="s">
        <v>132</v>
      </c>
      <c r="F37" s="6" t="s">
        <v>133</v>
      </c>
      <c r="G37" s="7" t="s">
        <v>150</v>
      </c>
      <c r="H37" s="6" t="s">
        <v>151</v>
      </c>
      <c r="I37" s="6" t="s">
        <v>152</v>
      </c>
    </row>
    <row r="38" spans="1:9" ht="26.4" x14ac:dyDescent="0.3">
      <c r="A38" s="5">
        <v>12</v>
      </c>
      <c r="B38" s="6" t="s">
        <v>129</v>
      </c>
      <c r="C38" s="6" t="s">
        <v>146</v>
      </c>
      <c r="D38" s="6" t="s">
        <v>147</v>
      </c>
      <c r="E38" s="5" t="s">
        <v>12</v>
      </c>
      <c r="F38" s="6" t="s">
        <v>13</v>
      </c>
      <c r="G38" s="7" t="s">
        <v>153</v>
      </c>
      <c r="H38" s="6" t="s">
        <v>154</v>
      </c>
      <c r="I38" s="6" t="s">
        <v>155</v>
      </c>
    </row>
    <row r="39" spans="1:9" ht="26.4" x14ac:dyDescent="0.3">
      <c r="A39" s="5">
        <v>12</v>
      </c>
      <c r="B39" s="6" t="s">
        <v>129</v>
      </c>
      <c r="C39" s="6" t="s">
        <v>146</v>
      </c>
      <c r="D39" s="6" t="s">
        <v>147</v>
      </c>
      <c r="E39" s="5" t="s">
        <v>17</v>
      </c>
      <c r="F39" s="6" t="s">
        <v>18</v>
      </c>
      <c r="G39" s="7" t="s">
        <v>48</v>
      </c>
      <c r="H39" s="6" t="s">
        <v>156</v>
      </c>
      <c r="I39" s="6" t="s">
        <v>157</v>
      </c>
    </row>
    <row r="40" spans="1:9" ht="26.4" x14ac:dyDescent="0.3">
      <c r="A40" s="2">
        <v>13</v>
      </c>
      <c r="B40" s="3" t="s">
        <v>129</v>
      </c>
      <c r="C40" s="3" t="s">
        <v>158</v>
      </c>
      <c r="D40" s="3" t="s">
        <v>159</v>
      </c>
      <c r="E40" s="2" t="s">
        <v>132</v>
      </c>
      <c r="F40" s="3" t="s">
        <v>133</v>
      </c>
      <c r="G40" s="4" t="s">
        <v>160</v>
      </c>
      <c r="H40" s="3" t="s">
        <v>161</v>
      </c>
      <c r="I40" s="3" t="s">
        <v>162</v>
      </c>
    </row>
    <row r="41" spans="1:9" ht="26.4" x14ac:dyDescent="0.3">
      <c r="A41" s="2">
        <v>13</v>
      </c>
      <c r="B41" s="3" t="s">
        <v>129</v>
      </c>
      <c r="C41" s="3" t="s">
        <v>158</v>
      </c>
      <c r="D41" s="3" t="s">
        <v>159</v>
      </c>
      <c r="E41" s="2" t="s">
        <v>12</v>
      </c>
      <c r="F41" s="3" t="s">
        <v>13</v>
      </c>
      <c r="G41" s="4" t="s">
        <v>163</v>
      </c>
      <c r="H41" s="3" t="s">
        <v>164</v>
      </c>
      <c r="I41" s="3" t="s">
        <v>165</v>
      </c>
    </row>
    <row r="42" spans="1:9" ht="26.4" x14ac:dyDescent="0.3">
      <c r="A42" s="2">
        <v>13</v>
      </c>
      <c r="B42" s="3" t="s">
        <v>129</v>
      </c>
      <c r="C42" s="3" t="s">
        <v>158</v>
      </c>
      <c r="D42" s="3" t="s">
        <v>159</v>
      </c>
      <c r="E42" s="2" t="s">
        <v>17</v>
      </c>
      <c r="F42" s="3" t="s">
        <v>18</v>
      </c>
      <c r="G42" s="4" t="s">
        <v>166</v>
      </c>
      <c r="H42" s="3" t="s">
        <v>167</v>
      </c>
      <c r="I42" s="3" t="s">
        <v>168</v>
      </c>
    </row>
    <row r="43" spans="1:9" ht="26.4" x14ac:dyDescent="0.3">
      <c r="A43" s="5">
        <v>14</v>
      </c>
      <c r="B43" s="6" t="s">
        <v>129</v>
      </c>
      <c r="C43" s="6" t="s">
        <v>169</v>
      </c>
      <c r="D43" s="6" t="s">
        <v>170</v>
      </c>
      <c r="E43" s="5" t="s">
        <v>32</v>
      </c>
      <c r="F43" s="6" t="s">
        <v>33</v>
      </c>
      <c r="G43" s="7" t="s">
        <v>123</v>
      </c>
      <c r="H43" s="6" t="s">
        <v>171</v>
      </c>
      <c r="I43" s="6" t="s">
        <v>172</v>
      </c>
    </row>
    <row r="44" spans="1:9" ht="26.4" x14ac:dyDescent="0.3">
      <c r="A44" s="5">
        <v>14</v>
      </c>
      <c r="B44" s="6" t="s">
        <v>129</v>
      </c>
      <c r="C44" s="6" t="s">
        <v>169</v>
      </c>
      <c r="D44" s="6" t="s">
        <v>170</v>
      </c>
      <c r="E44" s="5" t="s">
        <v>132</v>
      </c>
      <c r="F44" s="6" t="s">
        <v>133</v>
      </c>
      <c r="G44" s="7" t="s">
        <v>173</v>
      </c>
      <c r="H44" s="6" t="s">
        <v>174</v>
      </c>
      <c r="I44" s="6" t="s">
        <v>175</v>
      </c>
    </row>
    <row r="45" spans="1:9" ht="26.4" x14ac:dyDescent="0.3">
      <c r="A45" s="5">
        <v>14</v>
      </c>
      <c r="B45" s="6" t="s">
        <v>129</v>
      </c>
      <c r="C45" s="6" t="s">
        <v>169</v>
      </c>
      <c r="D45" s="6" t="s">
        <v>170</v>
      </c>
      <c r="E45" s="5" t="s">
        <v>12</v>
      </c>
      <c r="F45" s="6" t="s">
        <v>13</v>
      </c>
      <c r="G45" s="7" t="s">
        <v>176</v>
      </c>
      <c r="H45" s="6" t="s">
        <v>177</v>
      </c>
      <c r="I45" s="6" t="s">
        <v>178</v>
      </c>
    </row>
    <row r="46" spans="1:9" ht="26.4" x14ac:dyDescent="0.3">
      <c r="A46" s="2">
        <v>15</v>
      </c>
      <c r="B46" s="3" t="s">
        <v>129</v>
      </c>
      <c r="C46" s="3" t="s">
        <v>179</v>
      </c>
      <c r="D46" s="3" t="s">
        <v>180</v>
      </c>
      <c r="E46" s="2" t="s">
        <v>132</v>
      </c>
      <c r="F46" s="3" t="s">
        <v>133</v>
      </c>
      <c r="G46" s="4" t="s">
        <v>181</v>
      </c>
      <c r="H46" s="3" t="s">
        <v>182</v>
      </c>
      <c r="I46" s="3" t="s">
        <v>183</v>
      </c>
    </row>
    <row r="47" spans="1:9" ht="26.4" x14ac:dyDescent="0.3">
      <c r="A47" s="2">
        <v>15</v>
      </c>
      <c r="B47" s="3" t="s">
        <v>129</v>
      </c>
      <c r="C47" s="3" t="s">
        <v>179</v>
      </c>
      <c r="D47" s="3" t="s">
        <v>180</v>
      </c>
      <c r="E47" s="2" t="s">
        <v>22</v>
      </c>
      <c r="F47" s="3" t="s">
        <v>23</v>
      </c>
      <c r="G47" s="4" t="s">
        <v>109</v>
      </c>
      <c r="H47" s="3" t="s">
        <v>184</v>
      </c>
      <c r="I47" s="3" t="s">
        <v>185</v>
      </c>
    </row>
    <row r="48" spans="1:9" ht="26.4" x14ac:dyDescent="0.3">
      <c r="A48" s="2">
        <v>15</v>
      </c>
      <c r="B48" s="3" t="s">
        <v>129</v>
      </c>
      <c r="C48" s="3" t="s">
        <v>179</v>
      </c>
      <c r="D48" s="3" t="s">
        <v>180</v>
      </c>
      <c r="E48" s="2" t="s">
        <v>22</v>
      </c>
      <c r="F48" s="3" t="s">
        <v>23</v>
      </c>
      <c r="G48" s="4" t="s">
        <v>123</v>
      </c>
      <c r="H48" s="3" t="s">
        <v>186</v>
      </c>
      <c r="I48" s="3" t="s">
        <v>187</v>
      </c>
    </row>
    <row r="49" spans="1:9" ht="26.4" x14ac:dyDescent="0.3">
      <c r="A49" s="5">
        <v>16</v>
      </c>
      <c r="B49" s="6" t="s">
        <v>129</v>
      </c>
      <c r="C49" s="6" t="s">
        <v>188</v>
      </c>
      <c r="D49" s="6" t="s">
        <v>189</v>
      </c>
      <c r="E49" s="5" t="s">
        <v>32</v>
      </c>
      <c r="F49" s="6" t="s">
        <v>33</v>
      </c>
      <c r="G49" s="7" t="s">
        <v>56</v>
      </c>
      <c r="H49" s="6" t="s">
        <v>190</v>
      </c>
      <c r="I49" s="6" t="s">
        <v>191</v>
      </c>
    </row>
    <row r="50" spans="1:9" ht="26.4" x14ac:dyDescent="0.3">
      <c r="A50" s="5">
        <v>16</v>
      </c>
      <c r="B50" s="6" t="s">
        <v>129</v>
      </c>
      <c r="C50" s="6" t="s">
        <v>188</v>
      </c>
      <c r="D50" s="6" t="s">
        <v>189</v>
      </c>
      <c r="E50" s="5" t="s">
        <v>132</v>
      </c>
      <c r="F50" s="6" t="s">
        <v>133</v>
      </c>
      <c r="G50" s="7" t="s">
        <v>192</v>
      </c>
      <c r="H50" s="6" t="s">
        <v>193</v>
      </c>
      <c r="I50" s="6" t="s">
        <v>194</v>
      </c>
    </row>
    <row r="51" spans="1:9" ht="26.4" x14ac:dyDescent="0.3">
      <c r="A51" s="5">
        <v>16</v>
      </c>
      <c r="B51" s="6" t="s">
        <v>129</v>
      </c>
      <c r="C51" s="6" t="s">
        <v>188</v>
      </c>
      <c r="D51" s="6" t="s">
        <v>189</v>
      </c>
      <c r="E51" s="5" t="s">
        <v>12</v>
      </c>
      <c r="F51" s="6" t="s">
        <v>13</v>
      </c>
      <c r="G51" s="7" t="s">
        <v>195</v>
      </c>
      <c r="H51" s="6" t="s">
        <v>196</v>
      </c>
      <c r="I51" s="6" t="s">
        <v>197</v>
      </c>
    </row>
    <row r="52" spans="1:9" ht="26.4" x14ac:dyDescent="0.3">
      <c r="A52" s="5">
        <v>16</v>
      </c>
      <c r="B52" s="6" t="s">
        <v>129</v>
      </c>
      <c r="C52" s="6" t="s">
        <v>188</v>
      </c>
      <c r="D52" s="6" t="s">
        <v>189</v>
      </c>
      <c r="E52" s="5" t="s">
        <v>17</v>
      </c>
      <c r="F52" s="6" t="s">
        <v>18</v>
      </c>
      <c r="G52" s="7" t="s">
        <v>143</v>
      </c>
      <c r="H52" s="6" t="s">
        <v>198</v>
      </c>
      <c r="I52" s="6" t="s">
        <v>199</v>
      </c>
    </row>
    <row r="53" spans="1:9" ht="26.4" x14ac:dyDescent="0.3">
      <c r="A53" s="2">
        <v>17</v>
      </c>
      <c r="B53" s="3" t="s">
        <v>129</v>
      </c>
      <c r="C53" s="3" t="s">
        <v>200</v>
      </c>
      <c r="D53" s="3" t="s">
        <v>201</v>
      </c>
      <c r="E53" s="2" t="s">
        <v>132</v>
      </c>
      <c r="F53" s="3" t="s">
        <v>133</v>
      </c>
      <c r="G53" s="4" t="s">
        <v>202</v>
      </c>
      <c r="H53" s="3" t="s">
        <v>203</v>
      </c>
      <c r="I53" s="3" t="s">
        <v>204</v>
      </c>
    </row>
    <row r="54" spans="1:9" ht="26.4" x14ac:dyDescent="0.3">
      <c r="A54" s="2">
        <v>17</v>
      </c>
      <c r="B54" s="3" t="s">
        <v>129</v>
      </c>
      <c r="C54" s="3" t="s">
        <v>200</v>
      </c>
      <c r="D54" s="3" t="s">
        <v>201</v>
      </c>
      <c r="E54" s="2" t="s">
        <v>78</v>
      </c>
      <c r="F54" s="3" t="s">
        <v>79</v>
      </c>
      <c r="G54" s="4" t="s">
        <v>205</v>
      </c>
      <c r="H54" s="3" t="s">
        <v>206</v>
      </c>
      <c r="I54" s="3" t="s">
        <v>207</v>
      </c>
    </row>
    <row r="55" spans="1:9" ht="26.4" x14ac:dyDescent="0.3">
      <c r="A55" s="2">
        <v>17</v>
      </c>
      <c r="B55" s="3" t="s">
        <v>129</v>
      </c>
      <c r="C55" s="3" t="s">
        <v>200</v>
      </c>
      <c r="D55" s="3" t="s">
        <v>201</v>
      </c>
      <c r="E55" s="2" t="s">
        <v>12</v>
      </c>
      <c r="F55" s="3" t="s">
        <v>13</v>
      </c>
      <c r="G55" s="4" t="s">
        <v>208</v>
      </c>
      <c r="H55" s="3" t="s">
        <v>209</v>
      </c>
      <c r="I55" s="3" t="s">
        <v>210</v>
      </c>
    </row>
    <row r="56" spans="1:9" ht="26.4" x14ac:dyDescent="0.3">
      <c r="A56" s="5">
        <v>18</v>
      </c>
      <c r="B56" s="6" t="s">
        <v>129</v>
      </c>
      <c r="C56" s="6" t="s">
        <v>211</v>
      </c>
      <c r="D56" s="6" t="s">
        <v>212</v>
      </c>
      <c r="E56" s="5" t="s">
        <v>132</v>
      </c>
      <c r="F56" s="6" t="s">
        <v>133</v>
      </c>
      <c r="G56" s="7" t="s">
        <v>213</v>
      </c>
      <c r="H56" s="6" t="s">
        <v>214</v>
      </c>
      <c r="I56" s="6" t="s">
        <v>215</v>
      </c>
    </row>
    <row r="57" spans="1:9" ht="26.4" x14ac:dyDescent="0.3">
      <c r="A57" s="5">
        <v>18</v>
      </c>
      <c r="B57" s="6" t="s">
        <v>129</v>
      </c>
      <c r="C57" s="6" t="s">
        <v>211</v>
      </c>
      <c r="D57" s="6" t="s">
        <v>212</v>
      </c>
      <c r="E57" s="5" t="s">
        <v>78</v>
      </c>
      <c r="F57" s="6" t="s">
        <v>79</v>
      </c>
      <c r="G57" s="7" t="s">
        <v>216</v>
      </c>
      <c r="H57" s="6" t="s">
        <v>217</v>
      </c>
      <c r="I57" s="6" t="s">
        <v>218</v>
      </c>
    </row>
    <row r="58" spans="1:9" ht="26.4" x14ac:dyDescent="0.3">
      <c r="A58" s="5">
        <v>18</v>
      </c>
      <c r="B58" s="6" t="s">
        <v>129</v>
      </c>
      <c r="C58" s="6" t="s">
        <v>211</v>
      </c>
      <c r="D58" s="6" t="s">
        <v>212</v>
      </c>
      <c r="E58" s="5" t="s">
        <v>132</v>
      </c>
      <c r="F58" s="6" t="s">
        <v>133</v>
      </c>
      <c r="G58" s="7" t="s">
        <v>219</v>
      </c>
      <c r="H58" s="6" t="s">
        <v>220</v>
      </c>
      <c r="I58" s="6" t="s">
        <v>221</v>
      </c>
    </row>
    <row r="59" spans="1:9" ht="26.4" x14ac:dyDescent="0.3">
      <c r="A59" s="5">
        <v>18</v>
      </c>
      <c r="B59" s="6" t="s">
        <v>129</v>
      </c>
      <c r="C59" s="6" t="s">
        <v>211</v>
      </c>
      <c r="D59" s="6" t="s">
        <v>212</v>
      </c>
      <c r="E59" s="5" t="s">
        <v>12</v>
      </c>
      <c r="F59" s="6" t="s">
        <v>13</v>
      </c>
      <c r="G59" s="7" t="s">
        <v>222</v>
      </c>
      <c r="H59" s="6" t="s">
        <v>223</v>
      </c>
      <c r="I59" s="6" t="s">
        <v>224</v>
      </c>
    </row>
    <row r="60" spans="1:9" ht="39.6" x14ac:dyDescent="0.3">
      <c r="A60" s="2">
        <v>19</v>
      </c>
      <c r="B60" s="3" t="s">
        <v>129</v>
      </c>
      <c r="C60" s="3" t="s">
        <v>225</v>
      </c>
      <c r="D60" s="3" t="s">
        <v>226</v>
      </c>
      <c r="E60" s="2" t="s">
        <v>32</v>
      </c>
      <c r="F60" s="3" t="s">
        <v>33</v>
      </c>
      <c r="G60" s="4" t="s">
        <v>227</v>
      </c>
      <c r="H60" s="3" t="s">
        <v>228</v>
      </c>
      <c r="I60" s="3" t="s">
        <v>229</v>
      </c>
    </row>
    <row r="61" spans="1:9" ht="39.6" x14ac:dyDescent="0.3">
      <c r="A61" s="2">
        <v>19</v>
      </c>
      <c r="B61" s="3" t="s">
        <v>129</v>
      </c>
      <c r="C61" s="3" t="s">
        <v>225</v>
      </c>
      <c r="D61" s="3" t="s">
        <v>226</v>
      </c>
      <c r="E61" s="2" t="s">
        <v>132</v>
      </c>
      <c r="F61" s="3" t="s">
        <v>133</v>
      </c>
      <c r="G61" s="4" t="s">
        <v>230</v>
      </c>
      <c r="H61" s="3" t="s">
        <v>231</v>
      </c>
      <c r="I61" s="3" t="s">
        <v>232</v>
      </c>
    </row>
    <row r="62" spans="1:9" ht="26.4" x14ac:dyDescent="0.3">
      <c r="A62" s="2">
        <v>19</v>
      </c>
      <c r="B62" s="3" t="s">
        <v>129</v>
      </c>
      <c r="C62" s="3" t="s">
        <v>225</v>
      </c>
      <c r="D62" s="3" t="s">
        <v>226</v>
      </c>
      <c r="E62" s="2" t="s">
        <v>22</v>
      </c>
      <c r="F62" s="3" t="s">
        <v>23</v>
      </c>
      <c r="G62" s="4" t="s">
        <v>29</v>
      </c>
      <c r="H62" s="3" t="s">
        <v>233</v>
      </c>
      <c r="I62" s="3" t="s">
        <v>234</v>
      </c>
    </row>
    <row r="63" spans="1:9" ht="26.4" x14ac:dyDescent="0.3">
      <c r="A63" s="2">
        <v>19</v>
      </c>
      <c r="B63" s="3" t="s">
        <v>129</v>
      </c>
      <c r="C63" s="3" t="s">
        <v>225</v>
      </c>
      <c r="D63" s="3" t="s">
        <v>226</v>
      </c>
      <c r="E63" s="2" t="s">
        <v>22</v>
      </c>
      <c r="F63" s="3" t="s">
        <v>23</v>
      </c>
      <c r="G63" s="4" t="s">
        <v>235</v>
      </c>
      <c r="H63" s="3" t="s">
        <v>236</v>
      </c>
      <c r="I63" s="3" t="s">
        <v>237</v>
      </c>
    </row>
    <row r="64" spans="1:9" ht="26.4" x14ac:dyDescent="0.3">
      <c r="A64" s="5">
        <v>20</v>
      </c>
      <c r="B64" s="6" t="s">
        <v>129</v>
      </c>
      <c r="C64" s="6" t="s">
        <v>238</v>
      </c>
      <c r="D64" s="6" t="s">
        <v>239</v>
      </c>
      <c r="E64" s="5" t="s">
        <v>32</v>
      </c>
      <c r="F64" s="6" t="s">
        <v>33</v>
      </c>
      <c r="G64" s="7" t="s">
        <v>34</v>
      </c>
      <c r="H64" s="6" t="s">
        <v>240</v>
      </c>
      <c r="I64" s="6" t="s">
        <v>241</v>
      </c>
    </row>
    <row r="65" spans="1:9" ht="26.4" x14ac:dyDescent="0.3">
      <c r="A65" s="5">
        <v>20</v>
      </c>
      <c r="B65" s="6" t="s">
        <v>129</v>
      </c>
      <c r="C65" s="6" t="s">
        <v>238</v>
      </c>
      <c r="D65" s="6" t="s">
        <v>239</v>
      </c>
      <c r="E65" s="5" t="s">
        <v>132</v>
      </c>
      <c r="F65" s="6" t="s">
        <v>133</v>
      </c>
      <c r="G65" s="7" t="s">
        <v>242</v>
      </c>
      <c r="H65" s="6" t="s">
        <v>243</v>
      </c>
      <c r="I65" s="6" t="s">
        <v>244</v>
      </c>
    </row>
    <row r="66" spans="1:9" ht="26.4" x14ac:dyDescent="0.3">
      <c r="A66" s="5">
        <v>20</v>
      </c>
      <c r="B66" s="6" t="s">
        <v>129</v>
      </c>
      <c r="C66" s="6" t="s">
        <v>238</v>
      </c>
      <c r="D66" s="6" t="s">
        <v>239</v>
      </c>
      <c r="E66" s="5" t="s">
        <v>132</v>
      </c>
      <c r="F66" s="6" t="s">
        <v>133</v>
      </c>
      <c r="G66" s="7" t="s">
        <v>245</v>
      </c>
      <c r="H66" s="6" t="s">
        <v>246</v>
      </c>
      <c r="I66" s="6" t="s">
        <v>247</v>
      </c>
    </row>
    <row r="67" spans="1:9" ht="26.4" x14ac:dyDescent="0.3">
      <c r="A67" s="5">
        <v>20</v>
      </c>
      <c r="B67" s="6" t="s">
        <v>129</v>
      </c>
      <c r="C67" s="6" t="s">
        <v>238</v>
      </c>
      <c r="D67" s="6" t="s">
        <v>239</v>
      </c>
      <c r="E67" s="5" t="s">
        <v>17</v>
      </c>
      <c r="F67" s="6" t="s">
        <v>18</v>
      </c>
      <c r="G67" s="7" t="s">
        <v>248</v>
      </c>
      <c r="H67" s="6" t="s">
        <v>249</v>
      </c>
      <c r="I67" s="6" t="s">
        <v>250</v>
      </c>
    </row>
    <row r="68" spans="1:9" ht="26.4" x14ac:dyDescent="0.3">
      <c r="A68" s="2">
        <v>21</v>
      </c>
      <c r="B68" s="3" t="s">
        <v>251</v>
      </c>
      <c r="C68" s="3" t="s">
        <v>252</v>
      </c>
      <c r="D68" s="3" t="s">
        <v>253</v>
      </c>
      <c r="E68" s="2" t="s">
        <v>22</v>
      </c>
      <c r="F68" s="3" t="s">
        <v>23</v>
      </c>
      <c r="G68" s="4" t="s">
        <v>254</v>
      </c>
      <c r="H68" s="3" t="s">
        <v>255</v>
      </c>
      <c r="I68" s="3" t="s">
        <v>256</v>
      </c>
    </row>
    <row r="69" spans="1:9" ht="26.4" x14ac:dyDescent="0.3">
      <c r="A69" s="2">
        <v>21</v>
      </c>
      <c r="B69" s="3" t="s">
        <v>251</v>
      </c>
      <c r="C69" s="3" t="s">
        <v>252</v>
      </c>
      <c r="D69" s="3" t="s">
        <v>253</v>
      </c>
      <c r="E69" s="2" t="s">
        <v>12</v>
      </c>
      <c r="F69" s="3" t="s">
        <v>13</v>
      </c>
      <c r="G69" s="4" t="s">
        <v>257</v>
      </c>
      <c r="H69" s="3" t="s">
        <v>258</v>
      </c>
      <c r="I69" s="3" t="s">
        <v>259</v>
      </c>
    </row>
    <row r="70" spans="1:9" ht="26.4" x14ac:dyDescent="0.3">
      <c r="A70" s="2">
        <v>21</v>
      </c>
      <c r="B70" s="3" t="s">
        <v>251</v>
      </c>
      <c r="C70" s="3" t="s">
        <v>252</v>
      </c>
      <c r="D70" s="3" t="s">
        <v>253</v>
      </c>
      <c r="E70" s="2" t="s">
        <v>260</v>
      </c>
      <c r="F70" s="3" t="s">
        <v>261</v>
      </c>
      <c r="G70" s="4" t="s">
        <v>262</v>
      </c>
      <c r="H70" s="3" t="s">
        <v>263</v>
      </c>
      <c r="I70" s="3" t="s">
        <v>264</v>
      </c>
    </row>
    <row r="71" spans="1:9" ht="26.4" x14ac:dyDescent="0.3">
      <c r="A71" s="2">
        <v>21</v>
      </c>
      <c r="B71" s="3" t="s">
        <v>251</v>
      </c>
      <c r="C71" s="3" t="s">
        <v>252</v>
      </c>
      <c r="D71" s="3" t="s">
        <v>253</v>
      </c>
      <c r="E71" s="2" t="s">
        <v>17</v>
      </c>
      <c r="F71" s="3" t="s">
        <v>18</v>
      </c>
      <c r="G71" s="4" t="s">
        <v>265</v>
      </c>
      <c r="H71" s="3" t="s">
        <v>266</v>
      </c>
      <c r="I71" s="3" t="s">
        <v>267</v>
      </c>
    </row>
    <row r="72" spans="1:9" ht="26.4" x14ac:dyDescent="0.3">
      <c r="A72" s="5">
        <v>22</v>
      </c>
      <c r="B72" s="6" t="s">
        <v>251</v>
      </c>
      <c r="C72" s="6" t="s">
        <v>268</v>
      </c>
      <c r="D72" s="6" t="s">
        <v>201</v>
      </c>
      <c r="E72" s="5" t="s">
        <v>22</v>
      </c>
      <c r="F72" s="6" t="s">
        <v>23</v>
      </c>
      <c r="G72" s="7" t="s">
        <v>269</v>
      </c>
      <c r="H72" s="6" t="s">
        <v>270</v>
      </c>
      <c r="I72" s="6" t="s">
        <v>271</v>
      </c>
    </row>
    <row r="73" spans="1:9" ht="26.4" x14ac:dyDescent="0.3">
      <c r="A73" s="5">
        <v>22</v>
      </c>
      <c r="B73" s="6" t="s">
        <v>251</v>
      </c>
      <c r="C73" s="6" t="s">
        <v>268</v>
      </c>
      <c r="D73" s="6" t="s">
        <v>201</v>
      </c>
      <c r="E73" s="5" t="s">
        <v>12</v>
      </c>
      <c r="F73" s="6" t="s">
        <v>13</v>
      </c>
      <c r="G73" s="7" t="s">
        <v>272</v>
      </c>
      <c r="H73" s="6" t="s">
        <v>273</v>
      </c>
      <c r="I73" s="6" t="s">
        <v>274</v>
      </c>
    </row>
    <row r="74" spans="1:9" ht="26.4" x14ac:dyDescent="0.3">
      <c r="A74" s="5">
        <v>22</v>
      </c>
      <c r="B74" s="6" t="s">
        <v>251</v>
      </c>
      <c r="C74" s="6" t="s">
        <v>268</v>
      </c>
      <c r="D74" s="6" t="s">
        <v>201</v>
      </c>
      <c r="E74" s="5" t="s">
        <v>260</v>
      </c>
      <c r="F74" s="6" t="s">
        <v>261</v>
      </c>
      <c r="G74" s="7" t="s">
        <v>275</v>
      </c>
      <c r="H74" s="6" t="s">
        <v>276</v>
      </c>
      <c r="I74" s="6" t="s">
        <v>277</v>
      </c>
    </row>
    <row r="75" spans="1:9" ht="26.4" x14ac:dyDescent="0.3">
      <c r="A75" s="5">
        <v>22</v>
      </c>
      <c r="B75" s="6" t="s">
        <v>251</v>
      </c>
      <c r="C75" s="6" t="s">
        <v>268</v>
      </c>
      <c r="D75" s="6" t="s">
        <v>201</v>
      </c>
      <c r="E75" s="5" t="s">
        <v>17</v>
      </c>
      <c r="F75" s="6" t="s">
        <v>18</v>
      </c>
      <c r="G75" s="7" t="s">
        <v>143</v>
      </c>
      <c r="H75" s="6" t="s">
        <v>278</v>
      </c>
      <c r="I75" s="6" t="s">
        <v>279</v>
      </c>
    </row>
    <row r="76" spans="1:9" ht="26.4" x14ac:dyDescent="0.3">
      <c r="A76" s="2">
        <v>23</v>
      </c>
      <c r="B76" s="3" t="s">
        <v>251</v>
      </c>
      <c r="C76" s="3" t="s">
        <v>280</v>
      </c>
      <c r="D76" s="3" t="s">
        <v>281</v>
      </c>
      <c r="E76" s="2" t="s">
        <v>22</v>
      </c>
      <c r="F76" s="3" t="s">
        <v>23</v>
      </c>
      <c r="G76" s="4" t="s">
        <v>282</v>
      </c>
      <c r="H76" s="3" t="s">
        <v>283</v>
      </c>
      <c r="I76" s="3" t="s">
        <v>284</v>
      </c>
    </row>
    <row r="77" spans="1:9" ht="26.4" x14ac:dyDescent="0.3">
      <c r="A77" s="2">
        <v>23</v>
      </c>
      <c r="B77" s="3" t="s">
        <v>251</v>
      </c>
      <c r="C77" s="3" t="s">
        <v>280</v>
      </c>
      <c r="D77" s="3" t="s">
        <v>281</v>
      </c>
      <c r="E77" s="2" t="s">
        <v>32</v>
      </c>
      <c r="F77" s="3" t="s">
        <v>33</v>
      </c>
      <c r="G77" s="4" t="s">
        <v>285</v>
      </c>
      <c r="H77" s="3" t="s">
        <v>286</v>
      </c>
      <c r="I77" s="3" t="s">
        <v>287</v>
      </c>
    </row>
    <row r="78" spans="1:9" ht="26.4" x14ac:dyDescent="0.3">
      <c r="A78" s="2">
        <v>23</v>
      </c>
      <c r="B78" s="3" t="s">
        <v>251</v>
      </c>
      <c r="C78" s="3" t="s">
        <v>280</v>
      </c>
      <c r="D78" s="3" t="s">
        <v>281</v>
      </c>
      <c r="E78" s="2" t="s">
        <v>12</v>
      </c>
      <c r="F78" s="3" t="s">
        <v>13</v>
      </c>
      <c r="G78" s="4" t="s">
        <v>288</v>
      </c>
      <c r="H78" s="3" t="s">
        <v>289</v>
      </c>
      <c r="I78" s="3" t="s">
        <v>290</v>
      </c>
    </row>
    <row r="79" spans="1:9" ht="26.4" x14ac:dyDescent="0.3">
      <c r="A79" s="2">
        <v>23</v>
      </c>
      <c r="B79" s="3" t="s">
        <v>251</v>
      </c>
      <c r="C79" s="3" t="s">
        <v>280</v>
      </c>
      <c r="D79" s="3" t="s">
        <v>281</v>
      </c>
      <c r="E79" s="2" t="s">
        <v>260</v>
      </c>
      <c r="F79" s="3" t="s">
        <v>261</v>
      </c>
      <c r="G79" s="4" t="s">
        <v>291</v>
      </c>
      <c r="H79" s="3" t="s">
        <v>292</v>
      </c>
      <c r="I79" s="3" t="s">
        <v>293</v>
      </c>
    </row>
    <row r="80" spans="1:9" ht="26.4" x14ac:dyDescent="0.3">
      <c r="A80" s="5">
        <v>24</v>
      </c>
      <c r="B80" s="6" t="s">
        <v>251</v>
      </c>
      <c r="C80" s="6" t="s">
        <v>294</v>
      </c>
      <c r="D80" s="6" t="s">
        <v>295</v>
      </c>
      <c r="E80" s="5" t="s">
        <v>296</v>
      </c>
      <c r="F80" s="6" t="s">
        <v>297</v>
      </c>
      <c r="G80" s="7" t="s">
        <v>298</v>
      </c>
      <c r="H80" s="6" t="s">
        <v>299</v>
      </c>
      <c r="I80" s="6" t="s">
        <v>300</v>
      </c>
    </row>
    <row r="81" spans="1:9" ht="26.4" x14ac:dyDescent="0.3">
      <c r="A81" s="5">
        <v>24</v>
      </c>
      <c r="B81" s="6" t="s">
        <v>251</v>
      </c>
      <c r="C81" s="6" t="s">
        <v>294</v>
      </c>
      <c r="D81" s="6" t="s">
        <v>295</v>
      </c>
      <c r="E81" s="5" t="s">
        <v>296</v>
      </c>
      <c r="F81" s="6" t="s">
        <v>297</v>
      </c>
      <c r="G81" s="7" t="s">
        <v>91</v>
      </c>
      <c r="H81" s="6" t="s">
        <v>301</v>
      </c>
      <c r="I81" s="6" t="s">
        <v>302</v>
      </c>
    </row>
    <row r="82" spans="1:9" ht="26.4" x14ac:dyDescent="0.3">
      <c r="A82" s="5">
        <v>24</v>
      </c>
      <c r="B82" s="6" t="s">
        <v>251</v>
      </c>
      <c r="C82" s="6" t="s">
        <v>294</v>
      </c>
      <c r="D82" s="6" t="s">
        <v>295</v>
      </c>
      <c r="E82" s="5" t="s">
        <v>22</v>
      </c>
      <c r="F82" s="6" t="s">
        <v>23</v>
      </c>
      <c r="G82" s="7" t="s">
        <v>303</v>
      </c>
      <c r="H82" s="6" t="s">
        <v>304</v>
      </c>
      <c r="I82" s="6" t="s">
        <v>305</v>
      </c>
    </row>
    <row r="83" spans="1:9" ht="26.4" x14ac:dyDescent="0.3">
      <c r="A83" s="5">
        <v>24</v>
      </c>
      <c r="B83" s="6" t="s">
        <v>251</v>
      </c>
      <c r="C83" s="6" t="s">
        <v>294</v>
      </c>
      <c r="D83" s="6" t="s">
        <v>295</v>
      </c>
      <c r="E83" s="5" t="s">
        <v>132</v>
      </c>
      <c r="F83" s="6" t="s">
        <v>133</v>
      </c>
      <c r="G83" s="7" t="s">
        <v>306</v>
      </c>
      <c r="H83" s="6" t="s">
        <v>307</v>
      </c>
      <c r="I83" s="6" t="s">
        <v>308</v>
      </c>
    </row>
    <row r="84" spans="1:9" ht="26.4" x14ac:dyDescent="0.3">
      <c r="A84" s="2">
        <v>25</v>
      </c>
      <c r="B84" s="3" t="s">
        <v>251</v>
      </c>
      <c r="C84" s="3" t="s">
        <v>309</v>
      </c>
      <c r="D84" s="3" t="s">
        <v>310</v>
      </c>
      <c r="E84" s="2" t="s">
        <v>22</v>
      </c>
      <c r="F84" s="3" t="s">
        <v>23</v>
      </c>
      <c r="G84" s="4" t="s">
        <v>24</v>
      </c>
      <c r="H84" s="3" t="s">
        <v>311</v>
      </c>
      <c r="I84" s="3" t="s">
        <v>312</v>
      </c>
    </row>
    <row r="85" spans="1:9" ht="26.4" x14ac:dyDescent="0.3">
      <c r="A85" s="2">
        <v>25</v>
      </c>
      <c r="B85" s="3" t="s">
        <v>251</v>
      </c>
      <c r="C85" s="3" t="s">
        <v>309</v>
      </c>
      <c r="D85" s="3" t="s">
        <v>310</v>
      </c>
      <c r="E85" s="2" t="s">
        <v>260</v>
      </c>
      <c r="F85" s="3" t="s">
        <v>261</v>
      </c>
      <c r="G85" s="4" t="s">
        <v>313</v>
      </c>
      <c r="H85" s="3" t="s">
        <v>314</v>
      </c>
      <c r="I85" s="3" t="s">
        <v>315</v>
      </c>
    </row>
    <row r="86" spans="1:9" ht="26.4" x14ac:dyDescent="0.3">
      <c r="A86" s="2">
        <v>25</v>
      </c>
      <c r="B86" s="3" t="s">
        <v>251</v>
      </c>
      <c r="C86" s="3" t="s">
        <v>309</v>
      </c>
      <c r="D86" s="3" t="s">
        <v>310</v>
      </c>
      <c r="E86" s="2" t="s">
        <v>12</v>
      </c>
      <c r="F86" s="3" t="s">
        <v>13</v>
      </c>
      <c r="G86" s="4" t="s">
        <v>316</v>
      </c>
      <c r="H86" s="3" t="s">
        <v>317</v>
      </c>
      <c r="I86" s="3" t="s">
        <v>318</v>
      </c>
    </row>
    <row r="87" spans="1:9" ht="26.4" x14ac:dyDescent="0.3">
      <c r="A87" s="2">
        <v>25</v>
      </c>
      <c r="B87" s="3" t="s">
        <v>251</v>
      </c>
      <c r="C87" s="3" t="s">
        <v>309</v>
      </c>
      <c r="D87" s="3" t="s">
        <v>310</v>
      </c>
      <c r="E87" s="2" t="s">
        <v>17</v>
      </c>
      <c r="F87" s="3" t="s">
        <v>18</v>
      </c>
      <c r="G87" s="4" t="s">
        <v>319</v>
      </c>
      <c r="H87" s="3" t="s">
        <v>320</v>
      </c>
      <c r="I87" s="3" t="s">
        <v>321</v>
      </c>
    </row>
    <row r="88" spans="1:9" ht="26.4" x14ac:dyDescent="0.3">
      <c r="A88" s="5">
        <v>26</v>
      </c>
      <c r="B88" s="6" t="s">
        <v>251</v>
      </c>
      <c r="C88" s="6" t="s">
        <v>322</v>
      </c>
      <c r="D88" s="6" t="s">
        <v>323</v>
      </c>
      <c r="E88" s="5" t="s">
        <v>32</v>
      </c>
      <c r="F88" s="6" t="s">
        <v>33</v>
      </c>
      <c r="G88" s="7" t="s">
        <v>181</v>
      </c>
      <c r="H88" s="6" t="s">
        <v>324</v>
      </c>
      <c r="I88" s="6" t="s">
        <v>325</v>
      </c>
    </row>
    <row r="89" spans="1:9" ht="26.4" x14ac:dyDescent="0.3">
      <c r="A89" s="5">
        <v>26</v>
      </c>
      <c r="B89" s="6" t="s">
        <v>251</v>
      </c>
      <c r="C89" s="6" t="s">
        <v>322</v>
      </c>
      <c r="D89" s="6" t="s">
        <v>323</v>
      </c>
      <c r="E89" s="5" t="s">
        <v>12</v>
      </c>
      <c r="F89" s="6" t="s">
        <v>13</v>
      </c>
      <c r="G89" s="7" t="s">
        <v>326</v>
      </c>
      <c r="H89" s="6" t="s">
        <v>327</v>
      </c>
      <c r="I89" s="6" t="s">
        <v>328</v>
      </c>
    </row>
    <row r="90" spans="1:9" ht="26.4" x14ac:dyDescent="0.3">
      <c r="A90" s="5">
        <v>26</v>
      </c>
      <c r="B90" s="6" t="s">
        <v>251</v>
      </c>
      <c r="C90" s="6" t="s">
        <v>322</v>
      </c>
      <c r="D90" s="6" t="s">
        <v>323</v>
      </c>
      <c r="E90" s="5" t="s">
        <v>22</v>
      </c>
      <c r="F90" s="6" t="s">
        <v>23</v>
      </c>
      <c r="G90" s="7" t="s">
        <v>329</v>
      </c>
      <c r="H90" s="6" t="s">
        <v>330</v>
      </c>
      <c r="I90" s="6" t="s">
        <v>331</v>
      </c>
    </row>
    <row r="91" spans="1:9" ht="26.4" x14ac:dyDescent="0.3">
      <c r="A91" s="5">
        <v>26</v>
      </c>
      <c r="B91" s="6" t="s">
        <v>251</v>
      </c>
      <c r="C91" s="6" t="s">
        <v>322</v>
      </c>
      <c r="D91" s="6" t="s">
        <v>323</v>
      </c>
      <c r="E91" s="5" t="s">
        <v>132</v>
      </c>
      <c r="F91" s="6" t="s">
        <v>133</v>
      </c>
      <c r="G91" s="7" t="s">
        <v>332</v>
      </c>
      <c r="H91" s="6" t="s">
        <v>333</v>
      </c>
      <c r="I91" s="6" t="s">
        <v>334</v>
      </c>
    </row>
    <row r="92" spans="1:9" ht="26.4" x14ac:dyDescent="0.3">
      <c r="A92" s="2">
        <v>27</v>
      </c>
      <c r="B92" s="3" t="s">
        <v>251</v>
      </c>
      <c r="C92" s="3" t="s">
        <v>335</v>
      </c>
      <c r="D92" s="3" t="s">
        <v>336</v>
      </c>
      <c r="E92" s="2" t="s">
        <v>32</v>
      </c>
      <c r="F92" s="3" t="s">
        <v>33</v>
      </c>
      <c r="G92" s="4" t="s">
        <v>337</v>
      </c>
      <c r="H92" s="3" t="s">
        <v>338</v>
      </c>
      <c r="I92" s="3" t="s">
        <v>339</v>
      </c>
    </row>
    <row r="93" spans="1:9" ht="26.4" x14ac:dyDescent="0.3">
      <c r="A93" s="2">
        <v>27</v>
      </c>
      <c r="B93" s="3" t="s">
        <v>251</v>
      </c>
      <c r="C93" s="3" t="s">
        <v>335</v>
      </c>
      <c r="D93" s="3" t="s">
        <v>336</v>
      </c>
      <c r="E93" s="2" t="s">
        <v>340</v>
      </c>
      <c r="F93" s="3" t="s">
        <v>341</v>
      </c>
      <c r="G93" s="4" t="s">
        <v>342</v>
      </c>
      <c r="H93" s="3" t="s">
        <v>343</v>
      </c>
      <c r="I93" s="3" t="s">
        <v>344</v>
      </c>
    </row>
    <row r="94" spans="1:9" ht="26.4" x14ac:dyDescent="0.3">
      <c r="A94" s="2">
        <v>27</v>
      </c>
      <c r="B94" s="3" t="s">
        <v>251</v>
      </c>
      <c r="C94" s="3" t="s">
        <v>335</v>
      </c>
      <c r="D94" s="3" t="s">
        <v>336</v>
      </c>
      <c r="E94" s="2" t="s">
        <v>345</v>
      </c>
      <c r="F94" s="3" t="s">
        <v>346</v>
      </c>
      <c r="G94" s="4" t="s">
        <v>347</v>
      </c>
      <c r="H94" s="3" t="s">
        <v>348</v>
      </c>
      <c r="I94" s="3" t="s">
        <v>349</v>
      </c>
    </row>
    <row r="95" spans="1:9" ht="26.4" x14ac:dyDescent="0.3">
      <c r="A95" s="2">
        <v>27</v>
      </c>
      <c r="B95" s="3" t="s">
        <v>251</v>
      </c>
      <c r="C95" s="3" t="s">
        <v>335</v>
      </c>
      <c r="D95" s="3" t="s">
        <v>336</v>
      </c>
      <c r="E95" s="2" t="s">
        <v>22</v>
      </c>
      <c r="F95" s="3" t="s">
        <v>23</v>
      </c>
      <c r="G95" s="4" t="s">
        <v>350</v>
      </c>
      <c r="H95" s="3" t="s">
        <v>351</v>
      </c>
      <c r="I95" s="3" t="s">
        <v>352</v>
      </c>
    </row>
    <row r="96" spans="1:9" ht="26.4" x14ac:dyDescent="0.3">
      <c r="A96" s="5">
        <v>28</v>
      </c>
      <c r="B96" s="6" t="s">
        <v>251</v>
      </c>
      <c r="C96" s="6" t="s">
        <v>353</v>
      </c>
      <c r="D96" s="6" t="s">
        <v>354</v>
      </c>
      <c r="E96" s="5" t="s">
        <v>22</v>
      </c>
      <c r="F96" s="6" t="s">
        <v>23</v>
      </c>
      <c r="G96" s="7" t="s">
        <v>355</v>
      </c>
      <c r="H96" s="6" t="s">
        <v>356</v>
      </c>
      <c r="I96" s="6" t="s">
        <v>357</v>
      </c>
    </row>
    <row r="97" spans="1:9" ht="26.4" x14ac:dyDescent="0.3">
      <c r="A97" s="5">
        <v>28</v>
      </c>
      <c r="B97" s="6" t="s">
        <v>251</v>
      </c>
      <c r="C97" s="6" t="s">
        <v>353</v>
      </c>
      <c r="D97" s="6" t="s">
        <v>354</v>
      </c>
      <c r="E97" s="5" t="s">
        <v>132</v>
      </c>
      <c r="F97" s="6" t="s">
        <v>133</v>
      </c>
      <c r="G97" s="7" t="s">
        <v>303</v>
      </c>
      <c r="H97" s="6" t="s">
        <v>358</v>
      </c>
      <c r="I97" s="6" t="s">
        <v>359</v>
      </c>
    </row>
    <row r="98" spans="1:9" ht="26.4" x14ac:dyDescent="0.3">
      <c r="A98" s="5">
        <v>28</v>
      </c>
      <c r="B98" s="6" t="s">
        <v>251</v>
      </c>
      <c r="C98" s="6" t="s">
        <v>353</v>
      </c>
      <c r="D98" s="6" t="s">
        <v>354</v>
      </c>
      <c r="E98" s="5" t="s">
        <v>340</v>
      </c>
      <c r="F98" s="6" t="s">
        <v>341</v>
      </c>
      <c r="G98" s="7" t="s">
        <v>360</v>
      </c>
      <c r="H98" s="6" t="s">
        <v>361</v>
      </c>
      <c r="I98" s="6" t="s">
        <v>362</v>
      </c>
    </row>
    <row r="99" spans="1:9" ht="26.4" x14ac:dyDescent="0.3">
      <c r="A99" s="5">
        <v>28</v>
      </c>
      <c r="B99" s="6" t="s">
        <v>251</v>
      </c>
      <c r="C99" s="6" t="s">
        <v>353</v>
      </c>
      <c r="D99" s="6" t="s">
        <v>354</v>
      </c>
      <c r="E99" s="5" t="s">
        <v>17</v>
      </c>
      <c r="F99" s="6" t="s">
        <v>18</v>
      </c>
      <c r="G99" s="7" t="s">
        <v>363</v>
      </c>
      <c r="H99" s="6" t="s">
        <v>364</v>
      </c>
      <c r="I99" s="6" t="s">
        <v>365</v>
      </c>
    </row>
    <row r="100" spans="1:9" ht="26.4" x14ac:dyDescent="0.3">
      <c r="A100" s="2">
        <v>29</v>
      </c>
      <c r="B100" s="3" t="s">
        <v>251</v>
      </c>
      <c r="C100" s="3" t="s">
        <v>366</v>
      </c>
      <c r="D100" s="3" t="s">
        <v>367</v>
      </c>
      <c r="E100" s="2" t="s">
        <v>296</v>
      </c>
      <c r="F100" s="3" t="s">
        <v>297</v>
      </c>
      <c r="G100" s="4" t="s">
        <v>368</v>
      </c>
      <c r="H100" s="3" t="s">
        <v>369</v>
      </c>
      <c r="I100" s="3" t="s">
        <v>370</v>
      </c>
    </row>
    <row r="101" spans="1:9" ht="26.4" x14ac:dyDescent="0.3">
      <c r="A101" s="2">
        <v>29</v>
      </c>
      <c r="B101" s="3" t="s">
        <v>251</v>
      </c>
      <c r="C101" s="3" t="s">
        <v>366</v>
      </c>
      <c r="D101" s="3" t="s">
        <v>367</v>
      </c>
      <c r="E101" s="2" t="s">
        <v>22</v>
      </c>
      <c r="F101" s="3" t="s">
        <v>23</v>
      </c>
      <c r="G101" s="4" t="s">
        <v>181</v>
      </c>
      <c r="H101" s="3" t="s">
        <v>371</v>
      </c>
      <c r="I101" s="3" t="s">
        <v>372</v>
      </c>
    </row>
    <row r="102" spans="1:9" ht="26.4" x14ac:dyDescent="0.3">
      <c r="A102" s="2">
        <v>29</v>
      </c>
      <c r="B102" s="3" t="s">
        <v>251</v>
      </c>
      <c r="C102" s="3" t="s">
        <v>366</v>
      </c>
      <c r="D102" s="3" t="s">
        <v>367</v>
      </c>
      <c r="E102" s="2" t="s">
        <v>22</v>
      </c>
      <c r="F102" s="3" t="s">
        <v>23</v>
      </c>
      <c r="G102" s="4" t="s">
        <v>373</v>
      </c>
      <c r="H102" s="3" t="s">
        <v>374</v>
      </c>
      <c r="I102" s="3" t="s">
        <v>375</v>
      </c>
    </row>
    <row r="103" spans="1:9" ht="26.4" x14ac:dyDescent="0.3">
      <c r="A103" s="2">
        <v>29</v>
      </c>
      <c r="B103" s="3" t="s">
        <v>251</v>
      </c>
      <c r="C103" s="3" t="s">
        <v>366</v>
      </c>
      <c r="D103" s="3" t="s">
        <v>367</v>
      </c>
      <c r="E103" s="2" t="s">
        <v>340</v>
      </c>
      <c r="F103" s="3" t="s">
        <v>341</v>
      </c>
      <c r="G103" s="4" t="s">
        <v>34</v>
      </c>
      <c r="H103" s="3" t="s">
        <v>376</v>
      </c>
      <c r="I103" s="3" t="s">
        <v>377</v>
      </c>
    </row>
    <row r="104" spans="1:9" ht="26.4" x14ac:dyDescent="0.3">
      <c r="A104" s="5">
        <v>30</v>
      </c>
      <c r="B104" s="6" t="s">
        <v>251</v>
      </c>
      <c r="C104" s="6" t="s">
        <v>378</v>
      </c>
      <c r="D104" s="6" t="s">
        <v>379</v>
      </c>
      <c r="E104" s="5" t="s">
        <v>296</v>
      </c>
      <c r="F104" s="6" t="s">
        <v>297</v>
      </c>
      <c r="G104" s="7" t="s">
        <v>42</v>
      </c>
      <c r="H104" s="6" t="s">
        <v>380</v>
      </c>
      <c r="I104" s="6" t="s">
        <v>381</v>
      </c>
    </row>
    <row r="105" spans="1:9" ht="26.4" x14ac:dyDescent="0.3">
      <c r="A105" s="5">
        <v>30</v>
      </c>
      <c r="B105" s="6" t="s">
        <v>251</v>
      </c>
      <c r="C105" s="6" t="s">
        <v>378</v>
      </c>
      <c r="D105" s="6" t="s">
        <v>379</v>
      </c>
      <c r="E105" s="5" t="s">
        <v>296</v>
      </c>
      <c r="F105" s="6" t="s">
        <v>297</v>
      </c>
      <c r="G105" s="7" t="s">
        <v>382</v>
      </c>
      <c r="H105" s="6" t="s">
        <v>383</v>
      </c>
      <c r="I105" s="6" t="s">
        <v>384</v>
      </c>
    </row>
    <row r="106" spans="1:9" ht="26.4" x14ac:dyDescent="0.3">
      <c r="A106" s="5">
        <v>30</v>
      </c>
      <c r="B106" s="6" t="s">
        <v>251</v>
      </c>
      <c r="C106" s="6" t="s">
        <v>378</v>
      </c>
      <c r="D106" s="6" t="s">
        <v>379</v>
      </c>
      <c r="E106" s="5" t="s">
        <v>345</v>
      </c>
      <c r="F106" s="6" t="s">
        <v>346</v>
      </c>
      <c r="G106" s="7" t="s">
        <v>347</v>
      </c>
      <c r="H106" s="6" t="s">
        <v>385</v>
      </c>
      <c r="I106" s="6" t="s">
        <v>386</v>
      </c>
    </row>
    <row r="107" spans="1:9" ht="26.4" x14ac:dyDescent="0.3">
      <c r="A107" s="5">
        <v>30</v>
      </c>
      <c r="B107" s="6" t="s">
        <v>251</v>
      </c>
      <c r="C107" s="6" t="s">
        <v>378</v>
      </c>
      <c r="D107" s="6" t="s">
        <v>379</v>
      </c>
      <c r="E107" s="5" t="s">
        <v>32</v>
      </c>
      <c r="F107" s="6" t="s">
        <v>33</v>
      </c>
      <c r="G107" s="7" t="s">
        <v>387</v>
      </c>
      <c r="H107" s="6" t="s">
        <v>388</v>
      </c>
      <c r="I107" s="6" t="s">
        <v>339</v>
      </c>
    </row>
    <row r="108" spans="1:9" ht="26.4" x14ac:dyDescent="0.3">
      <c r="A108" s="2">
        <v>31</v>
      </c>
      <c r="B108" s="3" t="s">
        <v>389</v>
      </c>
      <c r="C108" s="3" t="s">
        <v>390</v>
      </c>
      <c r="D108" s="3" t="s">
        <v>391</v>
      </c>
      <c r="E108" s="2" t="s">
        <v>340</v>
      </c>
      <c r="F108" s="3" t="s">
        <v>341</v>
      </c>
      <c r="G108" s="4" t="s">
        <v>91</v>
      </c>
      <c r="H108" s="3" t="s">
        <v>392</v>
      </c>
      <c r="I108" s="3" t="s">
        <v>393</v>
      </c>
    </row>
    <row r="109" spans="1:9" ht="26.4" x14ac:dyDescent="0.3">
      <c r="A109" s="2">
        <v>31</v>
      </c>
      <c r="B109" s="3" t="s">
        <v>389</v>
      </c>
      <c r="C109" s="3" t="s">
        <v>390</v>
      </c>
      <c r="D109" s="3" t="s">
        <v>391</v>
      </c>
      <c r="E109" s="2" t="s">
        <v>340</v>
      </c>
      <c r="F109" s="3" t="s">
        <v>341</v>
      </c>
      <c r="G109" s="4" t="s">
        <v>394</v>
      </c>
      <c r="H109" s="3" t="s">
        <v>395</v>
      </c>
      <c r="I109" s="3" t="s">
        <v>396</v>
      </c>
    </row>
    <row r="110" spans="1:9" ht="26.4" x14ac:dyDescent="0.3">
      <c r="A110" s="2">
        <v>31</v>
      </c>
      <c r="B110" s="3" t="s">
        <v>389</v>
      </c>
      <c r="C110" s="3" t="s">
        <v>390</v>
      </c>
      <c r="D110" s="3" t="s">
        <v>391</v>
      </c>
      <c r="E110" s="2" t="s">
        <v>22</v>
      </c>
      <c r="F110" s="3" t="s">
        <v>23</v>
      </c>
      <c r="G110" s="4" t="s">
        <v>254</v>
      </c>
      <c r="H110" s="3" t="s">
        <v>397</v>
      </c>
      <c r="I110" s="3" t="s">
        <v>398</v>
      </c>
    </row>
    <row r="111" spans="1:9" ht="26.4" x14ac:dyDescent="0.3">
      <c r="A111" s="2">
        <v>31</v>
      </c>
      <c r="B111" s="3" t="s">
        <v>389</v>
      </c>
      <c r="C111" s="3" t="s">
        <v>390</v>
      </c>
      <c r="D111" s="3" t="s">
        <v>391</v>
      </c>
      <c r="E111" s="2" t="s">
        <v>17</v>
      </c>
      <c r="F111" s="3" t="s">
        <v>18</v>
      </c>
      <c r="G111" s="4" t="s">
        <v>399</v>
      </c>
      <c r="H111" s="3" t="s">
        <v>400</v>
      </c>
      <c r="I111" s="3" t="s">
        <v>401</v>
      </c>
    </row>
    <row r="112" spans="1:9" ht="26.4" x14ac:dyDescent="0.3">
      <c r="A112" s="5">
        <v>32</v>
      </c>
      <c r="B112" s="6" t="s">
        <v>389</v>
      </c>
      <c r="C112" s="6" t="s">
        <v>402</v>
      </c>
      <c r="D112" s="6" t="s">
        <v>403</v>
      </c>
      <c r="E112" s="5" t="s">
        <v>340</v>
      </c>
      <c r="F112" s="6" t="s">
        <v>341</v>
      </c>
      <c r="G112" s="7" t="s">
        <v>404</v>
      </c>
      <c r="H112" s="6" t="s">
        <v>405</v>
      </c>
      <c r="I112" s="6" t="s">
        <v>406</v>
      </c>
    </row>
    <row r="113" spans="1:9" ht="26.4" x14ac:dyDescent="0.3">
      <c r="A113" s="5">
        <v>32</v>
      </c>
      <c r="B113" s="6" t="s">
        <v>389</v>
      </c>
      <c r="C113" s="6" t="s">
        <v>402</v>
      </c>
      <c r="D113" s="6" t="s">
        <v>403</v>
      </c>
      <c r="E113" s="5" t="s">
        <v>340</v>
      </c>
      <c r="F113" s="6" t="s">
        <v>341</v>
      </c>
      <c r="G113" s="7" t="s">
        <v>407</v>
      </c>
      <c r="H113" s="6" t="s">
        <v>408</v>
      </c>
      <c r="I113" s="6" t="s">
        <v>409</v>
      </c>
    </row>
    <row r="114" spans="1:9" ht="26.4" x14ac:dyDescent="0.3">
      <c r="A114" s="5">
        <v>32</v>
      </c>
      <c r="B114" s="6" t="s">
        <v>389</v>
      </c>
      <c r="C114" s="6" t="s">
        <v>402</v>
      </c>
      <c r="D114" s="6" t="s">
        <v>403</v>
      </c>
      <c r="E114" s="5" t="s">
        <v>32</v>
      </c>
      <c r="F114" s="6" t="s">
        <v>33</v>
      </c>
      <c r="G114" s="7" t="s">
        <v>303</v>
      </c>
      <c r="H114" s="6" t="s">
        <v>410</v>
      </c>
      <c r="I114" s="6" t="s">
        <v>411</v>
      </c>
    </row>
    <row r="115" spans="1:9" ht="26.4" x14ac:dyDescent="0.3">
      <c r="A115" s="5">
        <v>32</v>
      </c>
      <c r="B115" s="6" t="s">
        <v>389</v>
      </c>
      <c r="C115" s="6" t="s">
        <v>402</v>
      </c>
      <c r="D115" s="6" t="s">
        <v>403</v>
      </c>
      <c r="E115" s="5" t="s">
        <v>22</v>
      </c>
      <c r="F115" s="6" t="s">
        <v>23</v>
      </c>
      <c r="G115" s="7" t="s">
        <v>412</v>
      </c>
      <c r="H115" s="6" t="s">
        <v>413</v>
      </c>
      <c r="I115" s="6" t="s">
        <v>414</v>
      </c>
    </row>
    <row r="116" spans="1:9" ht="26.4" x14ac:dyDescent="0.3">
      <c r="A116" s="2">
        <v>33</v>
      </c>
      <c r="B116" s="3" t="s">
        <v>389</v>
      </c>
      <c r="C116" s="3" t="s">
        <v>415</v>
      </c>
      <c r="D116" s="3" t="s">
        <v>416</v>
      </c>
      <c r="E116" s="2" t="s">
        <v>340</v>
      </c>
      <c r="F116" s="3" t="s">
        <v>341</v>
      </c>
      <c r="G116" s="4" t="s">
        <v>417</v>
      </c>
      <c r="H116" s="3" t="s">
        <v>418</v>
      </c>
      <c r="I116" s="3" t="s">
        <v>419</v>
      </c>
    </row>
    <row r="117" spans="1:9" ht="26.4" x14ac:dyDescent="0.3">
      <c r="A117" s="2">
        <v>33</v>
      </c>
      <c r="B117" s="3" t="s">
        <v>389</v>
      </c>
      <c r="C117" s="3" t="s">
        <v>415</v>
      </c>
      <c r="D117" s="3" t="s">
        <v>416</v>
      </c>
      <c r="E117" s="2" t="s">
        <v>340</v>
      </c>
      <c r="F117" s="3" t="s">
        <v>341</v>
      </c>
      <c r="G117" s="4" t="s">
        <v>420</v>
      </c>
      <c r="H117" s="3" t="s">
        <v>421</v>
      </c>
      <c r="I117" s="3" t="s">
        <v>422</v>
      </c>
    </row>
    <row r="118" spans="1:9" ht="26.4" x14ac:dyDescent="0.3">
      <c r="A118" s="2">
        <v>33</v>
      </c>
      <c r="B118" s="3" t="s">
        <v>389</v>
      </c>
      <c r="C118" s="3" t="s">
        <v>415</v>
      </c>
      <c r="D118" s="3" t="s">
        <v>416</v>
      </c>
      <c r="E118" s="2" t="s">
        <v>32</v>
      </c>
      <c r="F118" s="3" t="s">
        <v>33</v>
      </c>
      <c r="G118" s="4" t="s">
        <v>337</v>
      </c>
      <c r="H118" s="3" t="s">
        <v>423</v>
      </c>
      <c r="I118" s="3" t="s">
        <v>339</v>
      </c>
    </row>
    <row r="119" spans="1:9" ht="26.4" x14ac:dyDescent="0.3">
      <c r="A119" s="2">
        <v>33</v>
      </c>
      <c r="B119" s="3" t="s">
        <v>389</v>
      </c>
      <c r="C119" s="3" t="s">
        <v>415</v>
      </c>
      <c r="D119" s="3" t="s">
        <v>416</v>
      </c>
      <c r="E119" s="2" t="s">
        <v>22</v>
      </c>
      <c r="F119" s="3" t="s">
        <v>23</v>
      </c>
      <c r="G119" s="4" t="s">
        <v>254</v>
      </c>
      <c r="H119" s="3" t="s">
        <v>424</v>
      </c>
      <c r="I119" s="3" t="s">
        <v>425</v>
      </c>
    </row>
    <row r="120" spans="1:9" ht="26.4" x14ac:dyDescent="0.3">
      <c r="A120" s="5">
        <v>34</v>
      </c>
      <c r="B120" s="6" t="s">
        <v>389</v>
      </c>
      <c r="C120" s="6" t="s">
        <v>426</v>
      </c>
      <c r="D120" s="6" t="s">
        <v>427</v>
      </c>
      <c r="E120" s="5" t="s">
        <v>296</v>
      </c>
      <c r="F120" s="6" t="s">
        <v>297</v>
      </c>
      <c r="G120" s="7" t="s">
        <v>254</v>
      </c>
      <c r="H120" s="6" t="s">
        <v>428</v>
      </c>
      <c r="I120" s="6" t="s">
        <v>429</v>
      </c>
    </row>
    <row r="121" spans="1:9" ht="26.4" x14ac:dyDescent="0.3">
      <c r="A121" s="5">
        <v>34</v>
      </c>
      <c r="B121" s="6" t="s">
        <v>389</v>
      </c>
      <c r="C121" s="6" t="s">
        <v>426</v>
      </c>
      <c r="D121" s="6" t="s">
        <v>427</v>
      </c>
      <c r="E121" s="5" t="s">
        <v>296</v>
      </c>
      <c r="F121" s="6" t="s">
        <v>297</v>
      </c>
      <c r="G121" s="7" t="s">
        <v>88</v>
      </c>
      <c r="H121" s="6" t="s">
        <v>430</v>
      </c>
      <c r="I121" s="6" t="s">
        <v>429</v>
      </c>
    </row>
    <row r="122" spans="1:9" ht="39.6" x14ac:dyDescent="0.3">
      <c r="A122" s="5">
        <v>34</v>
      </c>
      <c r="B122" s="6" t="s">
        <v>389</v>
      </c>
      <c r="C122" s="6" t="s">
        <v>426</v>
      </c>
      <c r="D122" s="6" t="s">
        <v>427</v>
      </c>
      <c r="E122" s="5" t="s">
        <v>32</v>
      </c>
      <c r="F122" s="6" t="s">
        <v>33</v>
      </c>
      <c r="G122" s="7" t="s">
        <v>431</v>
      </c>
      <c r="H122" s="6" t="s">
        <v>432</v>
      </c>
      <c r="I122" s="6" t="s">
        <v>433</v>
      </c>
    </row>
    <row r="123" spans="1:9" ht="26.4" x14ac:dyDescent="0.3">
      <c r="A123" s="5">
        <v>34</v>
      </c>
      <c r="B123" s="6" t="s">
        <v>389</v>
      </c>
      <c r="C123" s="6" t="s">
        <v>426</v>
      </c>
      <c r="D123" s="6" t="s">
        <v>427</v>
      </c>
      <c r="E123" s="5" t="s">
        <v>340</v>
      </c>
      <c r="F123" s="6" t="s">
        <v>341</v>
      </c>
      <c r="G123" s="7" t="s">
        <v>303</v>
      </c>
      <c r="H123" s="6" t="s">
        <v>434</v>
      </c>
      <c r="I123" s="6" t="s">
        <v>435</v>
      </c>
    </row>
    <row r="124" spans="1:9" ht="26.4" x14ac:dyDescent="0.3">
      <c r="A124" s="5">
        <v>34</v>
      </c>
      <c r="B124" s="6" t="s">
        <v>389</v>
      </c>
      <c r="C124" s="6" t="s">
        <v>426</v>
      </c>
      <c r="D124" s="6" t="s">
        <v>427</v>
      </c>
      <c r="E124" s="5" t="s">
        <v>17</v>
      </c>
      <c r="F124" s="6" t="s">
        <v>18</v>
      </c>
      <c r="G124" s="7" t="s">
        <v>19</v>
      </c>
      <c r="H124" s="6" t="s">
        <v>436</v>
      </c>
      <c r="I124" s="6" t="s">
        <v>437</v>
      </c>
    </row>
    <row r="125" spans="1:9" ht="26.4" x14ac:dyDescent="0.3">
      <c r="A125" s="2">
        <v>35</v>
      </c>
      <c r="B125" s="3" t="s">
        <v>389</v>
      </c>
      <c r="C125" s="3" t="s">
        <v>438</v>
      </c>
      <c r="D125" s="3" t="s">
        <v>439</v>
      </c>
      <c r="E125" s="2" t="s">
        <v>32</v>
      </c>
      <c r="F125" s="3" t="s">
        <v>33</v>
      </c>
      <c r="G125" s="4" t="s">
        <v>91</v>
      </c>
      <c r="H125" s="3" t="s">
        <v>440</v>
      </c>
      <c r="I125" s="3" t="s">
        <v>441</v>
      </c>
    </row>
    <row r="126" spans="1:9" ht="26.4" x14ac:dyDescent="0.3">
      <c r="A126" s="2">
        <v>35</v>
      </c>
      <c r="B126" s="3" t="s">
        <v>389</v>
      </c>
      <c r="C126" s="3" t="s">
        <v>438</v>
      </c>
      <c r="D126" s="3" t="s">
        <v>439</v>
      </c>
      <c r="E126" s="2" t="s">
        <v>340</v>
      </c>
      <c r="F126" s="3" t="s">
        <v>341</v>
      </c>
      <c r="G126" s="4" t="s">
        <v>442</v>
      </c>
      <c r="H126" s="3" t="s">
        <v>443</v>
      </c>
      <c r="I126" s="3" t="s">
        <v>444</v>
      </c>
    </row>
    <row r="127" spans="1:9" ht="26.4" x14ac:dyDescent="0.3">
      <c r="A127" s="2">
        <v>35</v>
      </c>
      <c r="B127" s="3" t="s">
        <v>389</v>
      </c>
      <c r="C127" s="3" t="s">
        <v>438</v>
      </c>
      <c r="D127" s="3" t="s">
        <v>439</v>
      </c>
      <c r="E127" s="2" t="s">
        <v>340</v>
      </c>
      <c r="F127" s="3" t="s">
        <v>341</v>
      </c>
      <c r="G127" s="4" t="s">
        <v>109</v>
      </c>
      <c r="H127" s="3" t="s">
        <v>445</v>
      </c>
      <c r="I127" s="3" t="s">
        <v>446</v>
      </c>
    </row>
    <row r="128" spans="1:9" ht="26.4" x14ac:dyDescent="0.3">
      <c r="A128" s="2">
        <v>35</v>
      </c>
      <c r="B128" s="3" t="s">
        <v>389</v>
      </c>
      <c r="C128" s="3" t="s">
        <v>438</v>
      </c>
      <c r="D128" s="3" t="s">
        <v>439</v>
      </c>
      <c r="E128" s="2" t="s">
        <v>22</v>
      </c>
      <c r="F128" s="3" t="s">
        <v>23</v>
      </c>
      <c r="G128" s="4" t="s">
        <v>67</v>
      </c>
      <c r="H128" s="3" t="s">
        <v>447</v>
      </c>
      <c r="I128" s="3" t="s">
        <v>448</v>
      </c>
    </row>
    <row r="129" spans="1:9" ht="26.4" x14ac:dyDescent="0.3">
      <c r="A129" s="2">
        <v>35</v>
      </c>
      <c r="B129" s="3" t="s">
        <v>389</v>
      </c>
      <c r="C129" s="3" t="s">
        <v>438</v>
      </c>
      <c r="D129" s="3" t="s">
        <v>439</v>
      </c>
      <c r="E129" s="2" t="s">
        <v>345</v>
      </c>
      <c r="F129" s="3" t="s">
        <v>346</v>
      </c>
      <c r="G129" s="4" t="s">
        <v>360</v>
      </c>
      <c r="H129" s="3" t="s">
        <v>449</v>
      </c>
      <c r="I129" s="3" t="s">
        <v>450</v>
      </c>
    </row>
    <row r="130" spans="1:9" ht="26.4" x14ac:dyDescent="0.3">
      <c r="A130" s="5">
        <v>36</v>
      </c>
      <c r="B130" s="6" t="s">
        <v>389</v>
      </c>
      <c r="C130" s="6" t="s">
        <v>451</v>
      </c>
      <c r="D130" s="6" t="s">
        <v>452</v>
      </c>
      <c r="E130" s="5" t="s">
        <v>340</v>
      </c>
      <c r="F130" s="6" t="s">
        <v>341</v>
      </c>
      <c r="G130" s="7" t="s">
        <v>382</v>
      </c>
      <c r="H130" s="6" t="s">
        <v>453</v>
      </c>
      <c r="I130" s="6" t="s">
        <v>454</v>
      </c>
    </row>
    <row r="131" spans="1:9" ht="26.4" x14ac:dyDescent="0.3">
      <c r="A131" s="5">
        <v>36</v>
      </c>
      <c r="B131" s="6" t="s">
        <v>389</v>
      </c>
      <c r="C131" s="6" t="s">
        <v>451</v>
      </c>
      <c r="D131" s="6" t="s">
        <v>452</v>
      </c>
      <c r="E131" s="5" t="s">
        <v>340</v>
      </c>
      <c r="F131" s="6" t="s">
        <v>341</v>
      </c>
      <c r="G131" s="7" t="s">
        <v>455</v>
      </c>
      <c r="H131" s="6" t="s">
        <v>456</v>
      </c>
      <c r="I131" s="6" t="s">
        <v>457</v>
      </c>
    </row>
    <row r="132" spans="1:9" ht="26.4" x14ac:dyDescent="0.3">
      <c r="A132" s="5">
        <v>36</v>
      </c>
      <c r="B132" s="6" t="s">
        <v>389</v>
      </c>
      <c r="C132" s="6" t="s">
        <v>451</v>
      </c>
      <c r="D132" s="6" t="s">
        <v>452</v>
      </c>
      <c r="E132" s="5" t="s">
        <v>22</v>
      </c>
      <c r="F132" s="6" t="s">
        <v>23</v>
      </c>
      <c r="G132" s="7" t="s">
        <v>227</v>
      </c>
      <c r="H132" s="6" t="s">
        <v>458</v>
      </c>
      <c r="I132" s="6" t="s">
        <v>459</v>
      </c>
    </row>
    <row r="133" spans="1:9" ht="26.4" x14ac:dyDescent="0.3">
      <c r="A133" s="5">
        <v>36</v>
      </c>
      <c r="B133" s="6" t="s">
        <v>389</v>
      </c>
      <c r="C133" s="6" t="s">
        <v>451</v>
      </c>
      <c r="D133" s="6" t="s">
        <v>452</v>
      </c>
      <c r="E133" s="5" t="s">
        <v>132</v>
      </c>
      <c r="F133" s="6" t="s">
        <v>133</v>
      </c>
      <c r="G133" s="7" t="s">
        <v>460</v>
      </c>
      <c r="H133" s="6" t="s">
        <v>461</v>
      </c>
      <c r="I133" s="6" t="s">
        <v>462</v>
      </c>
    </row>
    <row r="134" spans="1:9" ht="26.4" x14ac:dyDescent="0.3">
      <c r="A134" s="5">
        <v>36</v>
      </c>
      <c r="B134" s="6" t="s">
        <v>389</v>
      </c>
      <c r="C134" s="6" t="s">
        <v>451</v>
      </c>
      <c r="D134" s="6" t="s">
        <v>452</v>
      </c>
      <c r="E134" s="5" t="s">
        <v>17</v>
      </c>
      <c r="F134" s="6" t="s">
        <v>18</v>
      </c>
      <c r="G134" s="7" t="s">
        <v>463</v>
      </c>
      <c r="H134" s="6" t="s">
        <v>464</v>
      </c>
      <c r="I134" s="6" t="s">
        <v>465</v>
      </c>
    </row>
    <row r="135" spans="1:9" ht="26.4" x14ac:dyDescent="0.3">
      <c r="A135" s="2">
        <v>37</v>
      </c>
      <c r="B135" s="3" t="s">
        <v>389</v>
      </c>
      <c r="C135" s="3" t="s">
        <v>466</v>
      </c>
      <c r="D135" s="3" t="s">
        <v>11</v>
      </c>
      <c r="E135" s="2" t="s">
        <v>132</v>
      </c>
      <c r="F135" s="3" t="s">
        <v>133</v>
      </c>
      <c r="G135" s="4" t="s">
        <v>467</v>
      </c>
      <c r="H135" s="3" t="s">
        <v>468</v>
      </c>
      <c r="I135" s="3" t="s">
        <v>469</v>
      </c>
    </row>
    <row r="136" spans="1:9" ht="26.4" x14ac:dyDescent="0.3">
      <c r="A136" s="2">
        <v>37</v>
      </c>
      <c r="B136" s="3" t="s">
        <v>389</v>
      </c>
      <c r="C136" s="3" t="s">
        <v>466</v>
      </c>
      <c r="D136" s="3" t="s">
        <v>11</v>
      </c>
      <c r="E136" s="2" t="s">
        <v>78</v>
      </c>
      <c r="F136" s="3" t="s">
        <v>79</v>
      </c>
      <c r="G136" s="4" t="s">
        <v>417</v>
      </c>
      <c r="H136" s="3" t="s">
        <v>470</v>
      </c>
      <c r="I136" s="3" t="s">
        <v>471</v>
      </c>
    </row>
    <row r="137" spans="1:9" ht="26.4" x14ac:dyDescent="0.3">
      <c r="A137" s="2">
        <v>37</v>
      </c>
      <c r="B137" s="3" t="s">
        <v>389</v>
      </c>
      <c r="C137" s="3" t="s">
        <v>466</v>
      </c>
      <c r="D137" s="3" t="s">
        <v>11</v>
      </c>
      <c r="E137" s="2" t="s">
        <v>340</v>
      </c>
      <c r="F137" s="3" t="s">
        <v>341</v>
      </c>
      <c r="G137" s="4" t="s">
        <v>472</v>
      </c>
      <c r="H137" s="3" t="s">
        <v>473</v>
      </c>
      <c r="I137" s="3" t="s">
        <v>474</v>
      </c>
    </row>
    <row r="138" spans="1:9" ht="26.4" x14ac:dyDescent="0.3">
      <c r="A138" s="2">
        <v>37</v>
      </c>
      <c r="B138" s="3" t="s">
        <v>389</v>
      </c>
      <c r="C138" s="3" t="s">
        <v>466</v>
      </c>
      <c r="D138" s="3" t="s">
        <v>11</v>
      </c>
      <c r="E138" s="2" t="s">
        <v>340</v>
      </c>
      <c r="F138" s="3" t="s">
        <v>341</v>
      </c>
      <c r="G138" s="4" t="s">
        <v>475</v>
      </c>
      <c r="H138" s="3" t="s">
        <v>476</v>
      </c>
      <c r="I138" s="3" t="s">
        <v>477</v>
      </c>
    </row>
    <row r="139" spans="1:9" ht="26.4" x14ac:dyDescent="0.3">
      <c r="A139" s="2">
        <v>37</v>
      </c>
      <c r="B139" s="3" t="s">
        <v>389</v>
      </c>
      <c r="C139" s="3" t="s">
        <v>466</v>
      </c>
      <c r="D139" s="3" t="s">
        <v>11</v>
      </c>
      <c r="E139" s="2" t="s">
        <v>22</v>
      </c>
      <c r="F139" s="3" t="s">
        <v>23</v>
      </c>
      <c r="G139" s="4" t="s">
        <v>91</v>
      </c>
      <c r="H139" s="3" t="s">
        <v>478</v>
      </c>
      <c r="I139" s="3" t="s">
        <v>479</v>
      </c>
    </row>
    <row r="140" spans="1:9" ht="26.4" x14ac:dyDescent="0.3">
      <c r="A140" s="5">
        <v>38</v>
      </c>
      <c r="B140" s="6" t="s">
        <v>389</v>
      </c>
      <c r="C140" s="6" t="s">
        <v>480</v>
      </c>
      <c r="D140" s="6" t="s">
        <v>481</v>
      </c>
      <c r="E140" s="5" t="s">
        <v>296</v>
      </c>
      <c r="F140" s="6" t="s">
        <v>297</v>
      </c>
      <c r="G140" s="7" t="s">
        <v>34</v>
      </c>
      <c r="H140" s="6" t="s">
        <v>482</v>
      </c>
      <c r="I140" s="6" t="s">
        <v>429</v>
      </c>
    </row>
    <row r="141" spans="1:9" ht="26.4" x14ac:dyDescent="0.3">
      <c r="A141" s="5">
        <v>38</v>
      </c>
      <c r="B141" s="6" t="s">
        <v>389</v>
      </c>
      <c r="C141" s="6" t="s">
        <v>480</v>
      </c>
      <c r="D141" s="6" t="s">
        <v>481</v>
      </c>
      <c r="E141" s="5" t="s">
        <v>296</v>
      </c>
      <c r="F141" s="6" t="s">
        <v>297</v>
      </c>
      <c r="G141" s="7" t="s">
        <v>303</v>
      </c>
      <c r="H141" s="6" t="s">
        <v>483</v>
      </c>
      <c r="I141" s="6" t="s">
        <v>429</v>
      </c>
    </row>
    <row r="142" spans="1:9" ht="26.4" x14ac:dyDescent="0.3">
      <c r="A142" s="5">
        <v>38</v>
      </c>
      <c r="B142" s="6" t="s">
        <v>389</v>
      </c>
      <c r="C142" s="6" t="s">
        <v>480</v>
      </c>
      <c r="D142" s="6" t="s">
        <v>481</v>
      </c>
      <c r="E142" s="5" t="s">
        <v>296</v>
      </c>
      <c r="F142" s="6" t="s">
        <v>297</v>
      </c>
      <c r="G142" s="7" t="s">
        <v>91</v>
      </c>
      <c r="H142" s="6" t="s">
        <v>484</v>
      </c>
      <c r="I142" s="6" t="s">
        <v>485</v>
      </c>
    </row>
    <row r="143" spans="1:9" ht="26.4" x14ac:dyDescent="0.3">
      <c r="A143" s="5">
        <v>38</v>
      </c>
      <c r="B143" s="6" t="s">
        <v>389</v>
      </c>
      <c r="C143" s="6" t="s">
        <v>480</v>
      </c>
      <c r="D143" s="6" t="s">
        <v>481</v>
      </c>
      <c r="E143" s="5" t="s">
        <v>340</v>
      </c>
      <c r="F143" s="6" t="s">
        <v>341</v>
      </c>
      <c r="G143" s="7" t="s">
        <v>467</v>
      </c>
      <c r="H143" s="6" t="s">
        <v>486</v>
      </c>
      <c r="I143" s="6" t="s">
        <v>487</v>
      </c>
    </row>
    <row r="144" spans="1:9" ht="26.4" x14ac:dyDescent="0.3">
      <c r="A144" s="5">
        <v>38</v>
      </c>
      <c r="B144" s="6" t="s">
        <v>389</v>
      </c>
      <c r="C144" s="6" t="s">
        <v>480</v>
      </c>
      <c r="D144" s="6" t="s">
        <v>481</v>
      </c>
      <c r="E144" s="5" t="s">
        <v>17</v>
      </c>
      <c r="F144" s="6" t="s">
        <v>18</v>
      </c>
      <c r="G144" s="7" t="s">
        <v>143</v>
      </c>
      <c r="H144" s="6" t="s">
        <v>488</v>
      </c>
      <c r="I144" s="6" t="s">
        <v>489</v>
      </c>
    </row>
    <row r="145" spans="1:9" ht="26.4" x14ac:dyDescent="0.3">
      <c r="A145" s="2">
        <v>39</v>
      </c>
      <c r="B145" s="3" t="s">
        <v>389</v>
      </c>
      <c r="C145" s="3" t="s">
        <v>490</v>
      </c>
      <c r="D145" s="3" t="s">
        <v>391</v>
      </c>
      <c r="E145" s="2" t="s">
        <v>296</v>
      </c>
      <c r="F145" s="3" t="s">
        <v>297</v>
      </c>
      <c r="G145" s="4" t="s">
        <v>491</v>
      </c>
      <c r="H145" s="3" t="s">
        <v>492</v>
      </c>
      <c r="I145" s="3" t="s">
        <v>493</v>
      </c>
    </row>
    <row r="146" spans="1:9" ht="26.4" x14ac:dyDescent="0.3">
      <c r="A146" s="2">
        <v>39</v>
      </c>
      <c r="B146" s="3" t="s">
        <v>389</v>
      </c>
      <c r="C146" s="3" t="s">
        <v>490</v>
      </c>
      <c r="D146" s="3" t="s">
        <v>391</v>
      </c>
      <c r="E146" s="2" t="s">
        <v>296</v>
      </c>
      <c r="F146" s="3" t="s">
        <v>297</v>
      </c>
      <c r="G146" s="4" t="s">
        <v>91</v>
      </c>
      <c r="H146" s="3" t="s">
        <v>494</v>
      </c>
      <c r="I146" s="3" t="s">
        <v>495</v>
      </c>
    </row>
    <row r="147" spans="1:9" ht="26.4" x14ac:dyDescent="0.3">
      <c r="A147" s="2">
        <v>39</v>
      </c>
      <c r="B147" s="3" t="s">
        <v>389</v>
      </c>
      <c r="C147" s="3" t="s">
        <v>490</v>
      </c>
      <c r="D147" s="3" t="s">
        <v>391</v>
      </c>
      <c r="E147" s="2" t="s">
        <v>22</v>
      </c>
      <c r="F147" s="3" t="s">
        <v>23</v>
      </c>
      <c r="G147" s="4" t="s">
        <v>329</v>
      </c>
      <c r="H147" s="3" t="s">
        <v>496</v>
      </c>
      <c r="I147" s="3" t="s">
        <v>497</v>
      </c>
    </row>
    <row r="148" spans="1:9" ht="26.4" x14ac:dyDescent="0.3">
      <c r="A148" s="2">
        <v>39</v>
      </c>
      <c r="B148" s="3" t="s">
        <v>389</v>
      </c>
      <c r="C148" s="3" t="s">
        <v>490</v>
      </c>
      <c r="D148" s="3" t="s">
        <v>391</v>
      </c>
      <c r="E148" s="2" t="s">
        <v>17</v>
      </c>
      <c r="F148" s="3" t="s">
        <v>18</v>
      </c>
      <c r="G148" s="4" t="s">
        <v>399</v>
      </c>
      <c r="H148" s="3" t="s">
        <v>498</v>
      </c>
      <c r="I148" s="3" t="s">
        <v>499</v>
      </c>
    </row>
    <row r="149" spans="1:9" ht="26.4" x14ac:dyDescent="0.3">
      <c r="A149" s="5">
        <v>40</v>
      </c>
      <c r="B149" s="6" t="s">
        <v>389</v>
      </c>
      <c r="C149" s="6" t="s">
        <v>500</v>
      </c>
      <c r="D149" s="6" t="s">
        <v>501</v>
      </c>
      <c r="E149" s="5" t="s">
        <v>296</v>
      </c>
      <c r="F149" s="6" t="s">
        <v>297</v>
      </c>
      <c r="G149" s="7" t="s">
        <v>502</v>
      </c>
      <c r="H149" s="6" t="s">
        <v>503</v>
      </c>
      <c r="I149" s="6" t="s">
        <v>429</v>
      </c>
    </row>
    <row r="150" spans="1:9" ht="26.4" x14ac:dyDescent="0.3">
      <c r="A150" s="5">
        <v>40</v>
      </c>
      <c r="B150" s="6" t="s">
        <v>389</v>
      </c>
      <c r="C150" s="6" t="s">
        <v>500</v>
      </c>
      <c r="D150" s="6" t="s">
        <v>501</v>
      </c>
      <c r="E150" s="5" t="s">
        <v>296</v>
      </c>
      <c r="F150" s="6" t="s">
        <v>297</v>
      </c>
      <c r="G150" s="7" t="s">
        <v>298</v>
      </c>
      <c r="H150" s="6" t="s">
        <v>504</v>
      </c>
      <c r="I150" s="6" t="s">
        <v>429</v>
      </c>
    </row>
    <row r="151" spans="1:9" ht="26.4" x14ac:dyDescent="0.3">
      <c r="A151" s="5">
        <v>40</v>
      </c>
      <c r="B151" s="6" t="s">
        <v>389</v>
      </c>
      <c r="C151" s="6" t="s">
        <v>500</v>
      </c>
      <c r="D151" s="6" t="s">
        <v>501</v>
      </c>
      <c r="E151" s="5" t="s">
        <v>296</v>
      </c>
      <c r="F151" s="6" t="s">
        <v>297</v>
      </c>
      <c r="G151" s="7" t="s">
        <v>285</v>
      </c>
      <c r="H151" s="6" t="s">
        <v>505</v>
      </c>
      <c r="I151" s="6" t="s">
        <v>506</v>
      </c>
    </row>
    <row r="152" spans="1:9" ht="26.4" x14ac:dyDescent="0.3">
      <c r="A152" s="5">
        <v>40</v>
      </c>
      <c r="B152" s="6" t="s">
        <v>389</v>
      </c>
      <c r="C152" s="6" t="s">
        <v>500</v>
      </c>
      <c r="D152" s="6" t="s">
        <v>501</v>
      </c>
      <c r="E152" s="5" t="s">
        <v>340</v>
      </c>
      <c r="F152" s="6" t="s">
        <v>341</v>
      </c>
      <c r="G152" s="7" t="s">
        <v>88</v>
      </c>
      <c r="H152" s="6" t="s">
        <v>507</v>
      </c>
      <c r="I152" s="6" t="s">
        <v>508</v>
      </c>
    </row>
    <row r="153" spans="1:9" ht="26.4" x14ac:dyDescent="0.3">
      <c r="A153" s="5">
        <v>40</v>
      </c>
      <c r="B153" s="6" t="s">
        <v>389</v>
      </c>
      <c r="C153" s="6" t="s">
        <v>500</v>
      </c>
      <c r="D153" s="6" t="s">
        <v>501</v>
      </c>
      <c r="E153" s="5" t="s">
        <v>22</v>
      </c>
      <c r="F153" s="6" t="s">
        <v>23</v>
      </c>
      <c r="G153" s="7" t="s">
        <v>120</v>
      </c>
      <c r="H153" s="6" t="s">
        <v>509</v>
      </c>
      <c r="I153" s="6" t="s">
        <v>510</v>
      </c>
    </row>
    <row r="154" spans="1:9" ht="66" x14ac:dyDescent="0.3">
      <c r="A154" s="2">
        <v>41</v>
      </c>
      <c r="B154" s="3" t="s">
        <v>511</v>
      </c>
      <c r="C154" s="3" t="s">
        <v>512</v>
      </c>
      <c r="D154" s="3" t="s">
        <v>513</v>
      </c>
      <c r="E154" s="2" t="s">
        <v>514</v>
      </c>
      <c r="F154" s="3" t="s">
        <v>515</v>
      </c>
      <c r="G154" s="4" t="s">
        <v>516</v>
      </c>
      <c r="H154" s="3" t="s">
        <v>517</v>
      </c>
      <c r="I154" s="3" t="s">
        <v>518</v>
      </c>
    </row>
    <row r="155" spans="1:9" ht="66" x14ac:dyDescent="0.3">
      <c r="A155" s="2">
        <v>41</v>
      </c>
      <c r="B155" s="3" t="s">
        <v>511</v>
      </c>
      <c r="C155" s="3" t="s">
        <v>512</v>
      </c>
      <c r="D155" s="3" t="s">
        <v>513</v>
      </c>
      <c r="E155" s="2" t="s">
        <v>514</v>
      </c>
      <c r="F155" s="3" t="s">
        <v>515</v>
      </c>
      <c r="G155" s="4" t="s">
        <v>519</v>
      </c>
      <c r="H155" s="3" t="s">
        <v>520</v>
      </c>
      <c r="I155" s="3" t="s">
        <v>521</v>
      </c>
    </row>
    <row r="156" spans="1:9" ht="66" x14ac:dyDescent="0.3">
      <c r="A156" s="2">
        <v>41</v>
      </c>
      <c r="B156" s="3" t="s">
        <v>511</v>
      </c>
      <c r="C156" s="3" t="s">
        <v>512</v>
      </c>
      <c r="D156" s="3" t="s">
        <v>513</v>
      </c>
      <c r="E156" s="2" t="s">
        <v>514</v>
      </c>
      <c r="F156" s="3" t="s">
        <v>515</v>
      </c>
      <c r="G156" s="4" t="s">
        <v>522</v>
      </c>
      <c r="H156" s="3" t="s">
        <v>523</v>
      </c>
      <c r="I156" s="3" t="s">
        <v>524</v>
      </c>
    </row>
    <row r="157" spans="1:9" ht="66" x14ac:dyDescent="0.3">
      <c r="A157" s="2">
        <v>41</v>
      </c>
      <c r="B157" s="3" t="s">
        <v>511</v>
      </c>
      <c r="C157" s="3" t="s">
        <v>512</v>
      </c>
      <c r="D157" s="3" t="s">
        <v>513</v>
      </c>
      <c r="E157" s="2" t="s">
        <v>22</v>
      </c>
      <c r="F157" s="3" t="s">
        <v>23</v>
      </c>
      <c r="G157" s="4" t="s">
        <v>525</v>
      </c>
      <c r="H157" s="3" t="s">
        <v>526</v>
      </c>
      <c r="I157" s="3" t="s">
        <v>527</v>
      </c>
    </row>
    <row r="158" spans="1:9" ht="79.2" x14ac:dyDescent="0.3">
      <c r="A158" s="5">
        <v>42</v>
      </c>
      <c r="B158" s="6" t="s">
        <v>511</v>
      </c>
      <c r="C158" s="6" t="s">
        <v>528</v>
      </c>
      <c r="D158" s="6" t="s">
        <v>529</v>
      </c>
      <c r="E158" s="5" t="s">
        <v>514</v>
      </c>
      <c r="F158" s="6" t="s">
        <v>515</v>
      </c>
      <c r="G158" s="7" t="s">
        <v>530</v>
      </c>
      <c r="H158" s="6" t="s">
        <v>531</v>
      </c>
      <c r="I158" s="6" t="s">
        <v>532</v>
      </c>
    </row>
    <row r="159" spans="1:9" ht="79.2" x14ac:dyDescent="0.3">
      <c r="A159" s="5">
        <v>42</v>
      </c>
      <c r="B159" s="6" t="s">
        <v>511</v>
      </c>
      <c r="C159" s="6" t="s">
        <v>528</v>
      </c>
      <c r="D159" s="6" t="s">
        <v>529</v>
      </c>
      <c r="E159" s="5" t="s">
        <v>533</v>
      </c>
      <c r="F159" s="6" t="s">
        <v>534</v>
      </c>
      <c r="G159" s="7" t="s">
        <v>355</v>
      </c>
      <c r="H159" s="6" t="s">
        <v>535</v>
      </c>
      <c r="I159" s="6" t="s">
        <v>536</v>
      </c>
    </row>
    <row r="160" spans="1:9" ht="79.2" x14ac:dyDescent="0.3">
      <c r="A160" s="5">
        <v>42</v>
      </c>
      <c r="B160" s="6" t="s">
        <v>511</v>
      </c>
      <c r="C160" s="6" t="s">
        <v>528</v>
      </c>
      <c r="D160" s="6" t="s">
        <v>529</v>
      </c>
      <c r="E160" s="5" t="s">
        <v>22</v>
      </c>
      <c r="F160" s="6" t="s">
        <v>23</v>
      </c>
      <c r="G160" s="7" t="s">
        <v>537</v>
      </c>
      <c r="H160" s="6" t="s">
        <v>538</v>
      </c>
      <c r="I160" s="6" t="s">
        <v>539</v>
      </c>
    </row>
    <row r="161" spans="1:9" ht="79.2" x14ac:dyDescent="0.3">
      <c r="A161" s="2">
        <v>43</v>
      </c>
      <c r="B161" s="3" t="s">
        <v>511</v>
      </c>
      <c r="C161" s="3" t="s">
        <v>540</v>
      </c>
      <c r="D161" s="3" t="s">
        <v>541</v>
      </c>
      <c r="E161" s="2" t="s">
        <v>533</v>
      </c>
      <c r="F161" s="3" t="s">
        <v>534</v>
      </c>
      <c r="G161" s="4" t="s">
        <v>542</v>
      </c>
      <c r="H161" s="3" t="s">
        <v>543</v>
      </c>
      <c r="I161" s="3" t="s">
        <v>544</v>
      </c>
    </row>
    <row r="162" spans="1:9" ht="79.2" x14ac:dyDescent="0.3">
      <c r="A162" s="2">
        <v>43</v>
      </c>
      <c r="B162" s="3" t="s">
        <v>511</v>
      </c>
      <c r="C162" s="3" t="s">
        <v>540</v>
      </c>
      <c r="D162" s="3" t="s">
        <v>541</v>
      </c>
      <c r="E162" s="2" t="s">
        <v>514</v>
      </c>
      <c r="F162" s="3" t="s">
        <v>515</v>
      </c>
      <c r="G162" s="4" t="s">
        <v>545</v>
      </c>
      <c r="H162" s="3" t="s">
        <v>546</v>
      </c>
      <c r="I162" s="3" t="s">
        <v>547</v>
      </c>
    </row>
    <row r="163" spans="1:9" ht="79.2" x14ac:dyDescent="0.3">
      <c r="A163" s="2">
        <v>43</v>
      </c>
      <c r="B163" s="3" t="s">
        <v>511</v>
      </c>
      <c r="C163" s="3" t="s">
        <v>540</v>
      </c>
      <c r="D163" s="3" t="s">
        <v>541</v>
      </c>
      <c r="E163" s="2" t="s">
        <v>514</v>
      </c>
      <c r="F163" s="3" t="s">
        <v>515</v>
      </c>
      <c r="G163" s="4" t="s">
        <v>548</v>
      </c>
      <c r="H163" s="3" t="s">
        <v>549</v>
      </c>
      <c r="I163" s="3" t="s">
        <v>550</v>
      </c>
    </row>
    <row r="164" spans="1:9" ht="79.2" x14ac:dyDescent="0.3">
      <c r="A164" s="2">
        <v>43</v>
      </c>
      <c r="B164" s="3" t="s">
        <v>511</v>
      </c>
      <c r="C164" s="3" t="s">
        <v>540</v>
      </c>
      <c r="D164" s="3" t="s">
        <v>541</v>
      </c>
      <c r="E164" s="2" t="s">
        <v>514</v>
      </c>
      <c r="F164" s="3" t="s">
        <v>515</v>
      </c>
      <c r="G164" s="4" t="s">
        <v>551</v>
      </c>
      <c r="H164" s="3" t="s">
        <v>552</v>
      </c>
      <c r="I164" s="3" t="s">
        <v>553</v>
      </c>
    </row>
    <row r="165" spans="1:9" ht="79.2" x14ac:dyDescent="0.3">
      <c r="A165" s="2">
        <v>43</v>
      </c>
      <c r="B165" s="3" t="s">
        <v>511</v>
      </c>
      <c r="C165" s="3" t="s">
        <v>540</v>
      </c>
      <c r="D165" s="3" t="s">
        <v>541</v>
      </c>
      <c r="E165" s="2" t="s">
        <v>22</v>
      </c>
      <c r="F165" s="3" t="s">
        <v>23</v>
      </c>
      <c r="G165" s="4" t="s">
        <v>554</v>
      </c>
      <c r="H165" s="3" t="s">
        <v>555</v>
      </c>
      <c r="I165" s="3" t="s">
        <v>556</v>
      </c>
    </row>
    <row r="166" spans="1:9" ht="66" x14ac:dyDescent="0.3">
      <c r="A166" s="5">
        <v>44</v>
      </c>
      <c r="B166" s="6" t="s">
        <v>511</v>
      </c>
      <c r="C166" s="6" t="s">
        <v>557</v>
      </c>
      <c r="D166" s="6" t="s">
        <v>11</v>
      </c>
      <c r="E166" s="5" t="s">
        <v>514</v>
      </c>
      <c r="F166" s="6" t="s">
        <v>515</v>
      </c>
      <c r="G166" s="7" t="s">
        <v>45</v>
      </c>
      <c r="H166" s="6" t="s">
        <v>558</v>
      </c>
      <c r="I166" s="6" t="s">
        <v>559</v>
      </c>
    </row>
    <row r="167" spans="1:9" ht="66" x14ac:dyDescent="0.3">
      <c r="A167" s="5">
        <v>44</v>
      </c>
      <c r="B167" s="6" t="s">
        <v>511</v>
      </c>
      <c r="C167" s="6" t="s">
        <v>557</v>
      </c>
      <c r="D167" s="6" t="s">
        <v>11</v>
      </c>
      <c r="E167" s="5" t="s">
        <v>514</v>
      </c>
      <c r="F167" s="6" t="s">
        <v>515</v>
      </c>
      <c r="G167" s="7" t="s">
        <v>560</v>
      </c>
      <c r="H167" s="6" t="s">
        <v>561</v>
      </c>
      <c r="I167" s="6" t="s">
        <v>562</v>
      </c>
    </row>
    <row r="168" spans="1:9" ht="66" x14ac:dyDescent="0.3">
      <c r="A168" s="5">
        <v>44</v>
      </c>
      <c r="B168" s="6" t="s">
        <v>511</v>
      </c>
      <c r="C168" s="6" t="s">
        <v>557</v>
      </c>
      <c r="D168" s="6" t="s">
        <v>11</v>
      </c>
      <c r="E168" s="5" t="s">
        <v>296</v>
      </c>
      <c r="F168" s="6" t="s">
        <v>297</v>
      </c>
      <c r="G168" s="7" t="s">
        <v>563</v>
      </c>
      <c r="H168" s="6" t="s">
        <v>564</v>
      </c>
      <c r="I168" s="6" t="s">
        <v>565</v>
      </c>
    </row>
    <row r="169" spans="1:9" ht="66" x14ac:dyDescent="0.3">
      <c r="A169" s="5">
        <v>44</v>
      </c>
      <c r="B169" s="6" t="s">
        <v>511</v>
      </c>
      <c r="C169" s="6" t="s">
        <v>557</v>
      </c>
      <c r="D169" s="6" t="s">
        <v>11</v>
      </c>
      <c r="E169" s="5" t="s">
        <v>22</v>
      </c>
      <c r="F169" s="6" t="s">
        <v>23</v>
      </c>
      <c r="G169" s="7" t="s">
        <v>140</v>
      </c>
      <c r="H169" s="6" t="s">
        <v>566</v>
      </c>
      <c r="I169" s="6" t="s">
        <v>567</v>
      </c>
    </row>
    <row r="170" spans="1:9" ht="66" x14ac:dyDescent="0.3">
      <c r="A170" s="2">
        <v>45</v>
      </c>
      <c r="B170" s="3" t="s">
        <v>511</v>
      </c>
      <c r="C170" s="3" t="s">
        <v>568</v>
      </c>
      <c r="D170" s="3" t="s">
        <v>569</v>
      </c>
      <c r="E170" s="2" t="s">
        <v>514</v>
      </c>
      <c r="F170" s="3" t="s">
        <v>515</v>
      </c>
      <c r="G170" s="4" t="s">
        <v>570</v>
      </c>
      <c r="H170" s="3" t="s">
        <v>571</v>
      </c>
      <c r="I170" s="3" t="s">
        <v>572</v>
      </c>
    </row>
    <row r="171" spans="1:9" ht="66" x14ac:dyDescent="0.3">
      <c r="A171" s="2">
        <v>45</v>
      </c>
      <c r="B171" s="3" t="s">
        <v>511</v>
      </c>
      <c r="C171" s="3" t="s">
        <v>568</v>
      </c>
      <c r="D171" s="3" t="s">
        <v>569</v>
      </c>
      <c r="E171" s="2" t="s">
        <v>514</v>
      </c>
      <c r="F171" s="3" t="s">
        <v>515</v>
      </c>
      <c r="G171" s="4" t="s">
        <v>573</v>
      </c>
      <c r="H171" s="3" t="s">
        <v>574</v>
      </c>
      <c r="I171" s="3" t="s">
        <v>575</v>
      </c>
    </row>
    <row r="172" spans="1:9" ht="66" x14ac:dyDescent="0.3">
      <c r="A172" s="2">
        <v>45</v>
      </c>
      <c r="B172" s="3" t="s">
        <v>511</v>
      </c>
      <c r="C172" s="3" t="s">
        <v>568</v>
      </c>
      <c r="D172" s="3" t="s">
        <v>569</v>
      </c>
      <c r="E172" s="2" t="s">
        <v>514</v>
      </c>
      <c r="F172" s="3" t="s">
        <v>515</v>
      </c>
      <c r="G172" s="4" t="s">
        <v>576</v>
      </c>
      <c r="H172" s="3" t="s">
        <v>577</v>
      </c>
      <c r="I172" s="3" t="s">
        <v>578</v>
      </c>
    </row>
    <row r="173" spans="1:9" ht="66" x14ac:dyDescent="0.3">
      <c r="A173" s="2">
        <v>45</v>
      </c>
      <c r="B173" s="3" t="s">
        <v>511</v>
      </c>
      <c r="C173" s="3" t="s">
        <v>568</v>
      </c>
      <c r="D173" s="3" t="s">
        <v>569</v>
      </c>
      <c r="E173" s="2" t="s">
        <v>22</v>
      </c>
      <c r="F173" s="3" t="s">
        <v>23</v>
      </c>
      <c r="G173" s="4" t="s">
        <v>545</v>
      </c>
      <c r="H173" s="3" t="s">
        <v>579</v>
      </c>
      <c r="I173" s="3" t="s">
        <v>580</v>
      </c>
    </row>
    <row r="174" spans="1:9" ht="66" x14ac:dyDescent="0.3">
      <c r="A174" s="2">
        <v>45</v>
      </c>
      <c r="B174" s="3" t="s">
        <v>511</v>
      </c>
      <c r="C174" s="3" t="s">
        <v>568</v>
      </c>
      <c r="D174" s="3" t="s">
        <v>569</v>
      </c>
      <c r="E174" s="2" t="s">
        <v>17</v>
      </c>
      <c r="F174" s="3" t="s">
        <v>18</v>
      </c>
      <c r="G174" s="4" t="s">
        <v>581</v>
      </c>
      <c r="H174" s="3" t="s">
        <v>582</v>
      </c>
      <c r="I174" s="3" t="s">
        <v>583</v>
      </c>
    </row>
    <row r="175" spans="1:9" ht="66" x14ac:dyDescent="0.3">
      <c r="A175" s="5">
        <v>46</v>
      </c>
      <c r="B175" s="6" t="s">
        <v>511</v>
      </c>
      <c r="C175" s="6" t="s">
        <v>584</v>
      </c>
      <c r="D175" s="6" t="s">
        <v>585</v>
      </c>
      <c r="E175" s="5" t="s">
        <v>514</v>
      </c>
      <c r="F175" s="6" t="s">
        <v>515</v>
      </c>
      <c r="G175" s="7" t="s">
        <v>123</v>
      </c>
      <c r="H175" s="6" t="s">
        <v>586</v>
      </c>
      <c r="I175" s="6" t="s">
        <v>587</v>
      </c>
    </row>
    <row r="176" spans="1:9" ht="66" x14ac:dyDescent="0.3">
      <c r="A176" s="5">
        <v>46</v>
      </c>
      <c r="B176" s="6" t="s">
        <v>511</v>
      </c>
      <c r="C176" s="6" t="s">
        <v>584</v>
      </c>
      <c r="D176" s="6" t="s">
        <v>585</v>
      </c>
      <c r="E176" s="5" t="s">
        <v>533</v>
      </c>
      <c r="F176" s="6" t="s">
        <v>534</v>
      </c>
      <c r="G176" s="7" t="s">
        <v>588</v>
      </c>
      <c r="H176" s="6" t="s">
        <v>589</v>
      </c>
      <c r="I176" s="6" t="s">
        <v>590</v>
      </c>
    </row>
    <row r="177" spans="1:9" ht="66" x14ac:dyDescent="0.3">
      <c r="A177" s="5">
        <v>46</v>
      </c>
      <c r="B177" s="6" t="s">
        <v>511</v>
      </c>
      <c r="C177" s="6" t="s">
        <v>584</v>
      </c>
      <c r="D177" s="6" t="s">
        <v>585</v>
      </c>
      <c r="E177" s="5" t="s">
        <v>22</v>
      </c>
      <c r="F177" s="6" t="s">
        <v>23</v>
      </c>
      <c r="G177" s="7" t="s">
        <v>591</v>
      </c>
      <c r="H177" s="6" t="s">
        <v>592</v>
      </c>
      <c r="I177" s="6" t="s">
        <v>593</v>
      </c>
    </row>
    <row r="178" spans="1:9" ht="66" x14ac:dyDescent="0.3">
      <c r="A178" s="5">
        <v>46</v>
      </c>
      <c r="B178" s="6" t="s">
        <v>511</v>
      </c>
      <c r="C178" s="6" t="s">
        <v>584</v>
      </c>
      <c r="D178" s="6" t="s">
        <v>585</v>
      </c>
      <c r="E178" s="5" t="s">
        <v>17</v>
      </c>
      <c r="F178" s="6" t="s">
        <v>18</v>
      </c>
      <c r="G178" s="7" t="s">
        <v>594</v>
      </c>
      <c r="H178" s="6" t="s">
        <v>595</v>
      </c>
      <c r="I178" s="6" t="s">
        <v>596</v>
      </c>
    </row>
    <row r="179" spans="1:9" ht="66" x14ac:dyDescent="0.3">
      <c r="A179" s="2">
        <v>47</v>
      </c>
      <c r="B179" s="3" t="s">
        <v>511</v>
      </c>
      <c r="C179" s="3" t="s">
        <v>597</v>
      </c>
      <c r="D179" s="3" t="s">
        <v>598</v>
      </c>
      <c r="E179" s="2" t="s">
        <v>533</v>
      </c>
      <c r="F179" s="3" t="s">
        <v>534</v>
      </c>
      <c r="G179" s="4" t="s">
        <v>599</v>
      </c>
      <c r="H179" s="3" t="s">
        <v>600</v>
      </c>
      <c r="I179" s="3" t="s">
        <v>601</v>
      </c>
    </row>
    <row r="180" spans="1:9" ht="66" x14ac:dyDescent="0.3">
      <c r="A180" s="2">
        <v>47</v>
      </c>
      <c r="B180" s="3" t="s">
        <v>511</v>
      </c>
      <c r="C180" s="3" t="s">
        <v>597</v>
      </c>
      <c r="D180" s="3" t="s">
        <v>598</v>
      </c>
      <c r="E180" s="2" t="s">
        <v>514</v>
      </c>
      <c r="F180" s="3" t="s">
        <v>515</v>
      </c>
      <c r="G180" s="4" t="s">
        <v>34</v>
      </c>
      <c r="H180" s="3" t="s">
        <v>602</v>
      </c>
      <c r="I180" s="3" t="s">
        <v>603</v>
      </c>
    </row>
    <row r="181" spans="1:9" ht="66" x14ac:dyDescent="0.3">
      <c r="A181" s="2">
        <v>47</v>
      </c>
      <c r="B181" s="3" t="s">
        <v>511</v>
      </c>
      <c r="C181" s="3" t="s">
        <v>597</v>
      </c>
      <c r="D181" s="3" t="s">
        <v>598</v>
      </c>
      <c r="E181" s="2" t="s">
        <v>514</v>
      </c>
      <c r="F181" s="3" t="s">
        <v>515</v>
      </c>
      <c r="G181" s="4" t="s">
        <v>604</v>
      </c>
      <c r="H181" s="3" t="s">
        <v>605</v>
      </c>
      <c r="I181" s="3" t="s">
        <v>606</v>
      </c>
    </row>
    <row r="182" spans="1:9" ht="66" x14ac:dyDescent="0.3">
      <c r="A182" s="2">
        <v>47</v>
      </c>
      <c r="B182" s="3" t="s">
        <v>511</v>
      </c>
      <c r="C182" s="3" t="s">
        <v>597</v>
      </c>
      <c r="D182" s="3" t="s">
        <v>598</v>
      </c>
      <c r="E182" s="2" t="s">
        <v>22</v>
      </c>
      <c r="F182" s="3" t="s">
        <v>23</v>
      </c>
      <c r="G182" s="4" t="s">
        <v>227</v>
      </c>
      <c r="H182" s="3" t="s">
        <v>607</v>
      </c>
      <c r="I182" s="3" t="s">
        <v>593</v>
      </c>
    </row>
    <row r="183" spans="1:9" ht="79.2" x14ac:dyDescent="0.3">
      <c r="A183" s="5">
        <v>48</v>
      </c>
      <c r="B183" s="6" t="s">
        <v>511</v>
      </c>
      <c r="C183" s="6" t="s">
        <v>608</v>
      </c>
      <c r="D183" s="6" t="s">
        <v>609</v>
      </c>
      <c r="E183" s="5" t="s">
        <v>533</v>
      </c>
      <c r="F183" s="6" t="s">
        <v>534</v>
      </c>
      <c r="G183" s="7" t="s">
        <v>525</v>
      </c>
      <c r="H183" s="6" t="s">
        <v>610</v>
      </c>
      <c r="I183" s="6" t="s">
        <v>611</v>
      </c>
    </row>
    <row r="184" spans="1:9" ht="79.2" x14ac:dyDescent="0.3">
      <c r="A184" s="5">
        <v>48</v>
      </c>
      <c r="B184" s="6" t="s">
        <v>511</v>
      </c>
      <c r="C184" s="6" t="s">
        <v>608</v>
      </c>
      <c r="D184" s="6" t="s">
        <v>609</v>
      </c>
      <c r="E184" s="5" t="s">
        <v>514</v>
      </c>
      <c r="F184" s="6" t="s">
        <v>515</v>
      </c>
      <c r="G184" s="7" t="s">
        <v>612</v>
      </c>
      <c r="H184" s="6" t="s">
        <v>613</v>
      </c>
      <c r="I184" s="6" t="s">
        <v>614</v>
      </c>
    </row>
    <row r="185" spans="1:9" ht="79.2" x14ac:dyDescent="0.3">
      <c r="A185" s="5">
        <v>48</v>
      </c>
      <c r="B185" s="6" t="s">
        <v>511</v>
      </c>
      <c r="C185" s="6" t="s">
        <v>608</v>
      </c>
      <c r="D185" s="6" t="s">
        <v>609</v>
      </c>
      <c r="E185" s="5" t="s">
        <v>22</v>
      </c>
      <c r="F185" s="6" t="s">
        <v>23</v>
      </c>
      <c r="G185" s="7" t="s">
        <v>615</v>
      </c>
      <c r="H185" s="6" t="s">
        <v>616</v>
      </c>
      <c r="I185" s="6" t="s">
        <v>593</v>
      </c>
    </row>
    <row r="186" spans="1:9" ht="79.2" x14ac:dyDescent="0.3">
      <c r="A186" s="5">
        <v>48</v>
      </c>
      <c r="B186" s="6" t="s">
        <v>511</v>
      </c>
      <c r="C186" s="6" t="s">
        <v>608</v>
      </c>
      <c r="D186" s="6" t="s">
        <v>609</v>
      </c>
      <c r="E186" s="5" t="s">
        <v>17</v>
      </c>
      <c r="F186" s="6" t="s">
        <v>18</v>
      </c>
      <c r="G186" s="7" t="s">
        <v>617</v>
      </c>
      <c r="H186" s="6" t="s">
        <v>618</v>
      </c>
      <c r="I186" s="6" t="s">
        <v>619</v>
      </c>
    </row>
    <row r="187" spans="1:9" ht="66" x14ac:dyDescent="0.3">
      <c r="A187" s="2">
        <v>49</v>
      </c>
      <c r="B187" s="3" t="s">
        <v>511</v>
      </c>
      <c r="C187" s="3" t="s">
        <v>620</v>
      </c>
      <c r="D187" s="3" t="s">
        <v>621</v>
      </c>
      <c r="E187" s="2" t="s">
        <v>533</v>
      </c>
      <c r="F187" s="3" t="s">
        <v>534</v>
      </c>
      <c r="G187" s="4" t="s">
        <v>34</v>
      </c>
      <c r="H187" s="3" t="s">
        <v>622</v>
      </c>
      <c r="I187" s="3" t="s">
        <v>623</v>
      </c>
    </row>
    <row r="188" spans="1:9" ht="66" x14ac:dyDescent="0.3">
      <c r="A188" s="2">
        <v>49</v>
      </c>
      <c r="B188" s="3" t="s">
        <v>511</v>
      </c>
      <c r="C188" s="3" t="s">
        <v>620</v>
      </c>
      <c r="D188" s="3" t="s">
        <v>621</v>
      </c>
      <c r="E188" s="2" t="s">
        <v>514</v>
      </c>
      <c r="F188" s="3" t="s">
        <v>515</v>
      </c>
      <c r="G188" s="4" t="s">
        <v>624</v>
      </c>
      <c r="H188" s="3" t="s">
        <v>625</v>
      </c>
      <c r="I188" s="3" t="s">
        <v>626</v>
      </c>
    </row>
    <row r="189" spans="1:9" ht="66" x14ac:dyDescent="0.3">
      <c r="A189" s="2">
        <v>49</v>
      </c>
      <c r="B189" s="3" t="s">
        <v>511</v>
      </c>
      <c r="C189" s="3" t="s">
        <v>620</v>
      </c>
      <c r="D189" s="3" t="s">
        <v>621</v>
      </c>
      <c r="E189" s="2" t="s">
        <v>514</v>
      </c>
      <c r="F189" s="3" t="s">
        <v>515</v>
      </c>
      <c r="G189" s="4" t="s">
        <v>627</v>
      </c>
      <c r="H189" s="3" t="s">
        <v>628</v>
      </c>
      <c r="I189" s="3" t="s">
        <v>626</v>
      </c>
    </row>
    <row r="190" spans="1:9" ht="66" x14ac:dyDescent="0.3">
      <c r="A190" s="2">
        <v>49</v>
      </c>
      <c r="B190" s="3" t="s">
        <v>511</v>
      </c>
      <c r="C190" s="3" t="s">
        <v>620</v>
      </c>
      <c r="D190" s="3" t="s">
        <v>621</v>
      </c>
      <c r="E190" s="2" t="s">
        <v>514</v>
      </c>
      <c r="F190" s="3" t="s">
        <v>515</v>
      </c>
      <c r="G190" s="4" t="s">
        <v>629</v>
      </c>
      <c r="H190" s="3" t="s">
        <v>630</v>
      </c>
      <c r="I190" s="3" t="s">
        <v>631</v>
      </c>
    </row>
    <row r="191" spans="1:9" ht="66" x14ac:dyDescent="0.3">
      <c r="A191" s="2">
        <v>49</v>
      </c>
      <c r="B191" s="3" t="s">
        <v>511</v>
      </c>
      <c r="C191" s="3" t="s">
        <v>620</v>
      </c>
      <c r="D191" s="3" t="s">
        <v>621</v>
      </c>
      <c r="E191" s="2" t="s">
        <v>132</v>
      </c>
      <c r="F191" s="3" t="s">
        <v>133</v>
      </c>
      <c r="G191" s="4" t="s">
        <v>632</v>
      </c>
      <c r="H191" s="3" t="s">
        <v>633</v>
      </c>
      <c r="I191" s="3" t="s">
        <v>634</v>
      </c>
    </row>
    <row r="192" spans="1:9" ht="66" x14ac:dyDescent="0.3">
      <c r="A192" s="2">
        <v>49</v>
      </c>
      <c r="B192" s="3" t="s">
        <v>511</v>
      </c>
      <c r="C192" s="3" t="s">
        <v>620</v>
      </c>
      <c r="D192" s="3" t="s">
        <v>621</v>
      </c>
      <c r="E192" s="2" t="s">
        <v>78</v>
      </c>
      <c r="F192" s="3" t="s">
        <v>79</v>
      </c>
      <c r="G192" s="4" t="s">
        <v>635</v>
      </c>
      <c r="H192" s="3" t="s">
        <v>636</v>
      </c>
      <c r="I192" s="3" t="s">
        <v>637</v>
      </c>
    </row>
    <row r="193" spans="1:9" ht="52.8" x14ac:dyDescent="0.3">
      <c r="A193" s="5">
        <v>50</v>
      </c>
      <c r="B193" s="6" t="s">
        <v>511</v>
      </c>
      <c r="C193" s="6" t="s">
        <v>638</v>
      </c>
      <c r="D193" s="6" t="s">
        <v>639</v>
      </c>
      <c r="E193" s="5" t="s">
        <v>514</v>
      </c>
      <c r="F193" s="6" t="s">
        <v>515</v>
      </c>
      <c r="G193" s="7" t="s">
        <v>599</v>
      </c>
      <c r="H193" s="6" t="s">
        <v>640</v>
      </c>
      <c r="I193" s="6" t="s">
        <v>641</v>
      </c>
    </row>
    <row r="194" spans="1:9" ht="52.8" x14ac:dyDescent="0.3">
      <c r="A194" s="5">
        <v>50</v>
      </c>
      <c r="B194" s="6" t="s">
        <v>511</v>
      </c>
      <c r="C194" s="6" t="s">
        <v>638</v>
      </c>
      <c r="D194" s="6" t="s">
        <v>639</v>
      </c>
      <c r="E194" s="5" t="s">
        <v>22</v>
      </c>
      <c r="F194" s="6" t="s">
        <v>23</v>
      </c>
      <c r="G194" s="7" t="s">
        <v>629</v>
      </c>
      <c r="H194" s="6" t="s">
        <v>642</v>
      </c>
      <c r="I194" s="6" t="s">
        <v>643</v>
      </c>
    </row>
    <row r="195" spans="1:9" ht="52.8" x14ac:dyDescent="0.3">
      <c r="A195" s="5">
        <v>50</v>
      </c>
      <c r="B195" s="6" t="s">
        <v>511</v>
      </c>
      <c r="C195" s="6" t="s">
        <v>638</v>
      </c>
      <c r="D195" s="6" t="s">
        <v>639</v>
      </c>
      <c r="E195" s="5" t="s">
        <v>533</v>
      </c>
      <c r="F195" s="6" t="s">
        <v>534</v>
      </c>
      <c r="G195" s="7" t="s">
        <v>460</v>
      </c>
      <c r="H195" s="6" t="s">
        <v>644</v>
      </c>
      <c r="I195" s="6" t="s">
        <v>645</v>
      </c>
    </row>
    <row r="196" spans="1:9" ht="52.8" x14ac:dyDescent="0.3">
      <c r="A196" s="5">
        <v>50</v>
      </c>
      <c r="B196" s="6" t="s">
        <v>511</v>
      </c>
      <c r="C196" s="6" t="s">
        <v>638</v>
      </c>
      <c r="D196" s="6" t="s">
        <v>639</v>
      </c>
      <c r="E196" s="5" t="s">
        <v>17</v>
      </c>
      <c r="F196" s="6" t="s">
        <v>18</v>
      </c>
      <c r="G196" s="7" t="s">
        <v>646</v>
      </c>
      <c r="H196" s="6" t="s">
        <v>647</v>
      </c>
      <c r="I196" s="6" t="s">
        <v>648</v>
      </c>
    </row>
  </sheetData>
  <autoFilter ref="A1:I19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2" width="34" customWidth="1"/>
    <col min="3" max="3" width="70" customWidth="1"/>
    <col min="4" max="4" width="16" customWidth="1"/>
  </cols>
  <sheetData>
    <row r="1" spans="1:4" ht="31.5" customHeight="1" x14ac:dyDescent="0.3">
      <c r="A1" s="1" t="s">
        <v>4</v>
      </c>
      <c r="B1" s="1" t="s">
        <v>5</v>
      </c>
      <c r="C1" s="1" t="s">
        <v>649</v>
      </c>
      <c r="D1" s="1" t="s">
        <v>650</v>
      </c>
    </row>
    <row r="2" spans="1:4" ht="26.4" x14ac:dyDescent="0.3">
      <c r="A2" s="8" t="s">
        <v>12</v>
      </c>
      <c r="B2" s="6" t="s">
        <v>13</v>
      </c>
      <c r="C2" s="6" t="s">
        <v>651</v>
      </c>
      <c r="D2" s="5">
        <f>COUNTIF('Bank Feedback'!$E$2:$E$196,A2)</f>
        <v>22</v>
      </c>
    </row>
    <row r="3" spans="1:4" ht="26.4" x14ac:dyDescent="0.3">
      <c r="A3" s="9" t="s">
        <v>32</v>
      </c>
      <c r="B3" s="3" t="s">
        <v>33</v>
      </c>
      <c r="C3" s="3" t="s">
        <v>652</v>
      </c>
      <c r="D3" s="2">
        <f>COUNTIF('Bank Feedback'!$E$2:$E$196,A3)</f>
        <v>22</v>
      </c>
    </row>
    <row r="4" spans="1:4" x14ac:dyDescent="0.3">
      <c r="A4" s="8" t="s">
        <v>17</v>
      </c>
      <c r="B4" s="6" t="s">
        <v>18</v>
      </c>
      <c r="C4" s="6" t="s">
        <v>653</v>
      </c>
      <c r="D4" s="5">
        <f>COUNTIF('Bank Feedback'!$E$2:$E$196,A4)</f>
        <v>25</v>
      </c>
    </row>
    <row r="5" spans="1:4" ht="26.4" x14ac:dyDescent="0.3">
      <c r="A5" s="9" t="s">
        <v>132</v>
      </c>
      <c r="B5" s="3" t="s">
        <v>133</v>
      </c>
      <c r="C5" s="3" t="s">
        <v>654</v>
      </c>
      <c r="D5" s="2">
        <f>COUNTIF('Bank Feedback'!$E$2:$E$196,A5)</f>
        <v>19</v>
      </c>
    </row>
    <row r="6" spans="1:4" x14ac:dyDescent="0.3">
      <c r="A6" s="8" t="s">
        <v>22</v>
      </c>
      <c r="B6" s="6" t="s">
        <v>23</v>
      </c>
      <c r="C6" s="6" t="s">
        <v>655</v>
      </c>
      <c r="D6" s="5">
        <f>COUNTIF('Bank Feedback'!$E$2:$E$196,A6)</f>
        <v>32</v>
      </c>
    </row>
    <row r="7" spans="1:4" ht="26.4" x14ac:dyDescent="0.3">
      <c r="A7" s="9" t="s">
        <v>78</v>
      </c>
      <c r="B7" s="3" t="s">
        <v>79</v>
      </c>
      <c r="C7" s="3" t="s">
        <v>656</v>
      </c>
      <c r="D7" s="2">
        <f>COUNTIF('Bank Feedback'!$E$2:$E$196,A7)</f>
        <v>7</v>
      </c>
    </row>
    <row r="8" spans="1:4" x14ac:dyDescent="0.3">
      <c r="A8" s="8" t="s">
        <v>260</v>
      </c>
      <c r="B8" s="6" t="s">
        <v>261</v>
      </c>
      <c r="C8" s="6" t="s">
        <v>657</v>
      </c>
      <c r="D8" s="5">
        <f>COUNTIF('Bank Feedback'!$E$2:$E$196,A8)</f>
        <v>4</v>
      </c>
    </row>
    <row r="9" spans="1:4" ht="26.4" x14ac:dyDescent="0.3">
      <c r="A9" s="9" t="s">
        <v>296</v>
      </c>
      <c r="B9" s="3" t="s">
        <v>297</v>
      </c>
      <c r="C9" s="3" t="s">
        <v>658</v>
      </c>
      <c r="D9" s="2">
        <f>COUNTIF('Bank Feedback'!$E$2:$E$196,A9)</f>
        <v>16</v>
      </c>
    </row>
    <row r="10" spans="1:4" x14ac:dyDescent="0.3">
      <c r="A10" s="8" t="s">
        <v>340</v>
      </c>
      <c r="B10" s="6" t="s">
        <v>341</v>
      </c>
      <c r="C10" s="6" t="s">
        <v>659</v>
      </c>
      <c r="D10" s="5">
        <f>COUNTIF('Bank Feedback'!$E$2:$E$196,A10)</f>
        <v>18</v>
      </c>
    </row>
    <row r="11" spans="1:4" ht="26.4" x14ac:dyDescent="0.3">
      <c r="A11" s="9" t="s">
        <v>345</v>
      </c>
      <c r="B11" s="3" t="s">
        <v>346</v>
      </c>
      <c r="C11" s="3" t="s">
        <v>660</v>
      </c>
      <c r="D11" s="2">
        <f>COUNTIF('Bank Feedback'!$E$2:$E$196,A11)</f>
        <v>3</v>
      </c>
    </row>
    <row r="12" spans="1:4" ht="26.4" x14ac:dyDescent="0.3">
      <c r="A12" s="8" t="s">
        <v>514</v>
      </c>
      <c r="B12" s="6" t="s">
        <v>515</v>
      </c>
      <c r="C12" s="6" t="s">
        <v>661</v>
      </c>
      <c r="D12" s="5">
        <f>COUNTIF('Bank Feedback'!$E$2:$E$196,A12)</f>
        <v>20</v>
      </c>
    </row>
    <row r="13" spans="1:4" x14ac:dyDescent="0.3">
      <c r="A13" s="9" t="s">
        <v>533</v>
      </c>
      <c r="B13" s="3" t="s">
        <v>534</v>
      </c>
      <c r="C13" s="3" t="s">
        <v>662</v>
      </c>
      <c r="D13" s="2">
        <f>COUNTIF('Bank Feedback'!$E$2:$E$196,A13)</f>
        <v>7</v>
      </c>
    </row>
    <row r="14" spans="1:4" x14ac:dyDescent="0.3">
      <c r="C14" s="10" t="s">
        <v>663</v>
      </c>
      <c r="D14" s="11">
        <f>SUM(D2:D13)</f>
        <v>195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zoomScaleNormal="100" workbookViewId="0"/>
  </sheetViews>
  <sheetFormatPr defaultColWidth="8.6640625" defaultRowHeight="14.4" x14ac:dyDescent="0.3"/>
  <cols>
    <col min="1" max="1" width="44" customWidth="1"/>
    <col min="2" max="2" width="90" customWidth="1"/>
  </cols>
  <sheetData>
    <row r="1" spans="1:2" ht="27.75" customHeight="1" x14ac:dyDescent="0.3">
      <c r="A1" s="1" t="s">
        <v>664</v>
      </c>
      <c r="B1" s="1" t="s">
        <v>665</v>
      </c>
    </row>
    <row r="2" spans="1:2" x14ac:dyDescent="0.3">
      <c r="A2" s="6" t="s">
        <v>666</v>
      </c>
      <c r="B2" s="6" t="s">
        <v>667</v>
      </c>
    </row>
    <row r="3" spans="1:2" ht="26.4" x14ac:dyDescent="0.3">
      <c r="A3" s="3" t="s">
        <v>668</v>
      </c>
      <c r="B3" s="3" t="s">
        <v>669</v>
      </c>
    </row>
    <row r="4" spans="1:2" ht="26.4" x14ac:dyDescent="0.3">
      <c r="A4" s="12" t="s">
        <v>670</v>
      </c>
      <c r="B4" s="13" t="s">
        <v>671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zoomScaleNormal="100" workbookViewId="0"/>
  </sheetViews>
  <sheetFormatPr defaultColWidth="8.6640625" defaultRowHeight="14.4" x14ac:dyDescent="0.3"/>
  <cols>
    <col min="1" max="1" width="5" customWidth="1"/>
    <col min="2" max="2" width="120" customWidth="1"/>
  </cols>
  <sheetData>
    <row r="1" spans="1:2" ht="15.6" x14ac:dyDescent="0.3">
      <c r="B1" s="14" t="s">
        <v>672</v>
      </c>
    </row>
    <row r="2" spans="1:2" x14ac:dyDescent="0.3">
      <c r="B2" s="15" t="s">
        <v>673</v>
      </c>
    </row>
    <row r="3" spans="1:2" ht="26.4" x14ac:dyDescent="0.3">
      <c r="A3" s="16" t="s">
        <v>88</v>
      </c>
      <c r="B3" s="13" t="s">
        <v>674</v>
      </c>
    </row>
    <row r="4" spans="1:2" x14ac:dyDescent="0.3">
      <c r="A4" s="16" t="s">
        <v>91</v>
      </c>
      <c r="B4" s="13" t="s">
        <v>675</v>
      </c>
    </row>
    <row r="5" spans="1:2" x14ac:dyDescent="0.3">
      <c r="B5" s="15" t="s">
        <v>676</v>
      </c>
    </row>
    <row r="6" spans="1:2" ht="26.4" x14ac:dyDescent="0.3">
      <c r="A6" s="16" t="s">
        <v>285</v>
      </c>
      <c r="B6" s="13" t="s">
        <v>677</v>
      </c>
    </row>
    <row r="7" spans="1:2" ht="26.4" x14ac:dyDescent="0.3">
      <c r="A7" s="16" t="s">
        <v>303</v>
      </c>
      <c r="B7" s="13" t="s">
        <v>678</v>
      </c>
    </row>
    <row r="8" spans="1:2" ht="39.6" x14ac:dyDescent="0.3">
      <c r="A8" s="16" t="s">
        <v>34</v>
      </c>
      <c r="B8" s="13" t="s">
        <v>679</v>
      </c>
    </row>
    <row r="9" spans="1:2" ht="26.4" x14ac:dyDescent="0.3">
      <c r="A9" s="16" t="s">
        <v>109</v>
      </c>
      <c r="B9" s="13" t="s">
        <v>680</v>
      </c>
    </row>
    <row r="10" spans="1:2" ht="26.4" x14ac:dyDescent="0.3">
      <c r="A10" s="16" t="s">
        <v>42</v>
      </c>
      <c r="B10" s="13" t="s">
        <v>681</v>
      </c>
    </row>
    <row r="11" spans="1:2" x14ac:dyDescent="0.3">
      <c r="B11" s="15" t="s">
        <v>682</v>
      </c>
    </row>
    <row r="12" spans="1:2" ht="26.4" x14ac:dyDescent="0.3">
      <c r="A12" s="16" t="s">
        <v>181</v>
      </c>
      <c r="B12" s="13" t="s">
        <v>683</v>
      </c>
    </row>
    <row r="13" spans="1:2" ht="26.4" x14ac:dyDescent="0.3">
      <c r="A13" s="16" t="s">
        <v>373</v>
      </c>
      <c r="B13" s="13" t="s">
        <v>684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Bank Feedback</vt:lpstr>
      <vt:lpstr>Kode Kesalahan</vt:lpstr>
      <vt:lpstr>Feedback Cadangan</vt:lpstr>
      <vt:lpstr>Catatan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 IP FLEX 5</cp:lastModifiedBy>
  <cp:revision>0</cp:revision>
  <dcterms:created xsi:type="dcterms:W3CDTF">2026-09-30T19:52:10Z</dcterms:created>
  <dcterms:modified xsi:type="dcterms:W3CDTF">2026-09-30T19:54:46Z</dcterms:modified>
  <dc:language>en-US</dc:language>
</cp:coreProperties>
</file>